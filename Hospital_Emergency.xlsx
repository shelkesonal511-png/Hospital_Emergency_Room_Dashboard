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onal\OneDrive\Desktop\"/>
    </mc:Choice>
  </mc:AlternateContent>
  <xr:revisionPtr revIDLastSave="0" documentId="13_ncr:1_{98A74143-30A2-4153-81C0-27BA51D1D5B9}" xr6:coauthVersionLast="47" xr6:coauthVersionMax="47" xr10:uidLastSave="{00000000-0000-0000-0000-000000000000}"/>
  <bookViews>
    <workbookView xWindow="-108" yWindow="-108" windowWidth="23256" windowHeight="12456" activeTab="1" xr2:uid="{A80F18EC-AD93-48DE-87A1-8693A479950C}"/>
  </bookViews>
  <sheets>
    <sheet name="Pivot Report" sheetId="1" r:id="rId1"/>
    <sheet name="Dashboard" sheetId="2" r:id="rId2"/>
    <sheet name="Daily ER No of patient" sheetId="3" r:id="rId3"/>
    <sheet name="Average wait time daily trend" sheetId="4"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0d5bf6c-3fe3-43e5-a2b2-7321c34938a1" name="Hospital Emergency Room Data" connection="Query - Hospital Emergency Room Data"/>
          <x15:modelTable id="Calendar_Table_9b651d9d-5554-4d28-92b2-474dfb1d5b9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 i="1" l="1"/>
  <c r="C43" i="1"/>
  <c r="B42" i="1"/>
  <c r="C42" i="1"/>
  <c r="A42"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7FBD61-E687-4257-BF61-EE6065FE6B33}" name="Query - Calendar_Table" description="Connection to the 'Calendar_Table' query in the workbook." type="100" refreshedVersion="8" minRefreshableVersion="5">
    <extLst>
      <ext xmlns:x15="http://schemas.microsoft.com/office/spreadsheetml/2010/11/main" uri="{DE250136-89BD-433C-8126-D09CA5730AF9}">
        <x15:connection id="6a5139b8-9d8f-4bea-903d-96403c8b49af"/>
      </ext>
    </extLst>
  </connection>
  <connection id="2" xr16:uid="{2D521BC9-6FA3-4B74-8EE8-47BF0772EDF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601d057-1263-4e42-ad3c-e33c8c0b72a8"/>
      </ext>
    </extLst>
  </connection>
  <connection id="3" xr16:uid="{BD417C18-6B26-40F0-B1CB-B75743D53D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<sst xmlns="http://schemas.openxmlformats.org/spreadsheetml/2006/main" count="160" uniqueCount="79">
  <si>
    <t>Distinct Count of Patient Id</t>
  </si>
  <si>
    <t>No. of patient</t>
  </si>
  <si>
    <t>Average of Patient Waittime</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</si>
  <si>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</si>
  <si>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</si>
  <si>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</si>
  <si>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</si>
  <si>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</si>
  <si>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</si>
  <si>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</si>
  <si>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</si>
  <si>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</si>
  <si>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</si>
  <si>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</si>
  <si>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</si>
  <si>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</si>
  <si>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</si>
  <si>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</si>
  <si>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</si>
  <si>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</si>
  <si>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</si>
  <si>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</si>
  <si>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</si>
  <si>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</si>
  <si>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</si>
  <si>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</si>
  <si>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</si>
  <si>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</si>
  <si>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</si>
  <si>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</si>
  <si>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</si>
  <si>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</si>
  <si>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</si>
  <si>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</si>
  <si>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</si>
  <si>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</si>
  <si>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</si>
  <si>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</si>
  <si>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•Showing a daily trend with an area sparkline to spot patterns like busy days or seasonal trends.</t>
  </si>
  <si>
    <t>daily trends of no of patient</t>
  </si>
  <si>
    <t>average wait time</t>
  </si>
  <si>
    <t>•Use an area chart to track daily changes and highlight days with longer wait times that might need improvements</t>
  </si>
  <si>
    <t>•Use an area Chart to show trends, spot drops in satisfaction, and link them to busy times or challenges.</t>
  </si>
  <si>
    <t>Satisfaction score daily trend</t>
  </si>
  <si>
    <t>Count of Patient Admission Flag</t>
  </si>
  <si>
    <t>Admitted</t>
  </si>
  <si>
    <t>Not Admitted</t>
  </si>
  <si>
    <t>Count of Patient Admission Flag2</t>
  </si>
  <si>
    <t>Admission Status</t>
  </si>
  <si>
    <t>%Status</t>
  </si>
  <si>
    <t>No.of Patient</t>
  </si>
  <si>
    <t>0-09</t>
  </si>
  <si>
    <t>10-19</t>
  </si>
  <si>
    <t>20-29</t>
  </si>
  <si>
    <t>30-39</t>
  </si>
  <si>
    <t>40-49</t>
  </si>
  <si>
    <t>50-59</t>
  </si>
  <si>
    <t>60-69</t>
  </si>
  <si>
    <t>70-79</t>
  </si>
  <si>
    <t>Count of Age Group</t>
  </si>
  <si>
    <t>age grp wise analysis</t>
  </si>
  <si>
    <t>Delay</t>
  </si>
  <si>
    <t>Ontime</t>
  </si>
  <si>
    <t>Count of Patient atend Status</t>
  </si>
  <si>
    <t>attended status</t>
  </si>
  <si>
    <t>Female</t>
  </si>
  <si>
    <t>Count of Patient Gender</t>
  </si>
  <si>
    <t>grand Total</t>
  </si>
  <si>
    <t>Gender</t>
  </si>
  <si>
    <t>Cardiology</t>
  </si>
  <si>
    <t>Gastroenterology</t>
  </si>
  <si>
    <t>General Practice</t>
  </si>
  <si>
    <t>Neurology</t>
  </si>
  <si>
    <t>None</t>
  </si>
  <si>
    <t>Orthopedics</t>
  </si>
  <si>
    <t>Physiotherapy</t>
  </si>
  <si>
    <t>Renal</t>
  </si>
  <si>
    <t>Count of Department Referral</t>
  </si>
  <si>
    <t>Dept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</si>
</sst>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1"/>
      <name val="Arial Rounded MT Bold"/>
      <family val="2"/>
    </font>
  </fonts>
  <fills count="4">
    <fill>
      <patternFill patternType="none"/>
    </fill>
    <fill>
      <patternFill patternType="gray125"/>
    </fill>
    <fill>
      <patternFill patternType="solid">
        <fgColor theme="1" tint="0.34998626667073579"/>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center"/>
    </xf>
    <xf numFmtId="1" fontId="0" fillId="0" borderId="0" xfId="0" applyNumberFormat="1"/>
    <xf numFmtId="10" fontId="0" fillId="0" borderId="0" xfId="0" applyNumberFormat="1"/>
    <xf numFmtId="0" fontId="0" fillId="3" borderId="0" xfId="0" applyFill="1"/>
    <xf numFmtId="0" fontId="0" fillId="3" borderId="0" xfId="0" applyFill="1" applyAlignment="1">
      <alignment horizontal="center"/>
    </xf>
    <xf numFmtId="9" fontId="0" fillId="0" borderId="0" xfId="1" applyFont="1" applyAlignment="1">
      <alignment horizontal="center"/>
    </xf>
    <xf numFmtId="0" fontId="0" fillId="0" borderId="0" xfId="0" applyAlignment="1">
      <alignment horizontal="center"/>
    </xf>
    <xf numFmtId="0" fontId="2" fillId="0" borderId="0" xfId="0" applyFont="1" applyAlignment="1">
      <alignment horizontal="center"/>
    </xf>
  </cellXfs>
  <cellStyles count="2">
    <cellStyle name="Normal" xfId="0" builtinId="0"/>
    <cellStyle name="Percent" xfId="1" builtinId="5"/>
  </cellStyles>
  <dxfs count="14">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EE90AC48-0092-43D5-BF3E-69B9B77A2240}">
      <tableStyleElement type="wholeTable" dxfId="13"/>
      <tableStyleElement type="headerRow" dxfId="12"/>
    </tableStyle>
  </tableStyles>
  <colors>
    <mruColors>
      <color rgb="FF0066CC"/>
      <color rgb="FFF4692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Report!PivotTable7</c:name>
    <c:fmtId val="0"/>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7.5138214106215719E-3"/>
          <c:y val="3.0164332906662539E-2"/>
          <c:w val="0.80122586896264136"/>
          <c:h val="0.96983566709333746"/>
        </c:manualLayout>
      </c:layout>
      <c:barChart>
        <c:barDir val="bar"/>
        <c:grouping val="clustered"/>
        <c:varyColors val="0"/>
        <c:ser>
          <c:idx val="0"/>
          <c:order val="0"/>
          <c:tx>
            <c:strRef>
              <c:f>'Pivot Report'!$B$35</c:f>
              <c:strCache>
                <c:ptCount val="1"/>
                <c:pt idx="0">
                  <c:v>Count of Patient Admission Flag</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Report'!$A$36:$A$38</c:f>
              <c:strCache>
                <c:ptCount val="2"/>
                <c:pt idx="0">
                  <c:v>Admitted</c:v>
                </c:pt>
                <c:pt idx="1">
                  <c:v>Not Admitted</c:v>
                </c:pt>
              </c:strCache>
            </c:strRef>
          </c:cat>
          <c:val>
            <c:numRef>
              <c:f>'Pivot Report'!$B$36:$B$38</c:f>
              <c:numCache>
                <c:formatCode>0</c:formatCode>
                <c:ptCount val="2"/>
                <c:pt idx="0">
                  <c:v>269</c:v>
                </c:pt>
                <c:pt idx="1">
                  <c:v>244</c:v>
                </c:pt>
              </c:numCache>
            </c:numRef>
          </c:val>
          <c:extLst>
            <c:ext xmlns:c16="http://schemas.microsoft.com/office/drawing/2014/chart" uri="{C3380CC4-5D6E-409C-BE32-E72D297353CC}">
              <c16:uniqueId val="{00000007-655A-4AA4-AE48-F675416B74F9}"/>
            </c:ext>
          </c:extLst>
        </c:ser>
        <c:ser>
          <c:idx val="1"/>
          <c:order val="1"/>
          <c:tx>
            <c:strRef>
              <c:f>'Pivot Report'!$C$35</c:f>
              <c:strCache>
                <c:ptCount val="1"/>
                <c:pt idx="0">
                  <c:v>Count of Patient Admission Flag2</c:v>
                </c:pt>
              </c:strCache>
            </c:strRef>
          </c:tx>
          <c:spPr>
            <a:solidFill>
              <a:schemeClr val="accent2"/>
            </a:solidFill>
            <a:ln>
              <a:noFill/>
            </a:ln>
            <a:effectLst/>
          </c:spPr>
          <c:invertIfNegative val="0"/>
          <c:cat>
            <c:strRef>
              <c:f>'Pivot Report'!$A$36:$A$38</c:f>
              <c:strCache>
                <c:ptCount val="2"/>
                <c:pt idx="0">
                  <c:v>Admitted</c:v>
                </c:pt>
                <c:pt idx="1">
                  <c:v>Not Admitted</c:v>
                </c:pt>
              </c:strCache>
            </c:strRef>
          </c:cat>
          <c:val>
            <c:numRef>
              <c:f>'Pivot Report'!$C$36:$C$38</c:f>
              <c:numCache>
                <c:formatCode>0.00%</c:formatCode>
                <c:ptCount val="2"/>
                <c:pt idx="0">
                  <c:v>0.52436647173489281</c:v>
                </c:pt>
                <c:pt idx="1">
                  <c:v>0.47563352826510719</c:v>
                </c:pt>
              </c:numCache>
            </c:numRef>
          </c:val>
          <c:extLst>
            <c:ext xmlns:c16="http://schemas.microsoft.com/office/drawing/2014/chart" uri="{C3380CC4-5D6E-409C-BE32-E72D297353CC}">
              <c16:uniqueId val="{00000008-655A-4AA4-AE48-F675416B74F9}"/>
            </c:ext>
          </c:extLst>
        </c:ser>
        <c:dLbls>
          <c:showLegendKey val="0"/>
          <c:showVal val="0"/>
          <c:showCatName val="0"/>
          <c:showSerName val="0"/>
          <c:showPercent val="0"/>
          <c:showBubbleSize val="0"/>
        </c:dLbls>
        <c:gapWidth val="0"/>
        <c:axId val="1652963023"/>
        <c:axId val="125394144"/>
      </c:barChart>
      <c:catAx>
        <c:axId val="1652963023"/>
        <c:scaling>
          <c:orientation val="minMax"/>
        </c:scaling>
        <c:delete val="1"/>
        <c:axPos val="l"/>
        <c:numFmt formatCode="General" sourceLinked="1"/>
        <c:majorTickMark val="none"/>
        <c:minorTickMark val="none"/>
        <c:tickLblPos val="nextTo"/>
        <c:crossAx val="125394144"/>
        <c:crosses val="autoZero"/>
        <c:auto val="1"/>
        <c:lblAlgn val="ctr"/>
        <c:lblOffset val="100"/>
        <c:noMultiLvlLbl val="0"/>
      </c:catAx>
      <c:valAx>
        <c:axId val="125394144"/>
        <c:scaling>
          <c:orientation val="minMax"/>
        </c:scaling>
        <c:delete val="1"/>
        <c:axPos val="b"/>
        <c:numFmt formatCode="0" sourceLinked="1"/>
        <c:majorTickMark val="none"/>
        <c:minorTickMark val="none"/>
        <c:tickLblPos val="nextTo"/>
        <c:crossAx val="16529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6401352112676058"/>
          <c:w val="0.98937582556945991"/>
          <c:h val="0.73598647887323942"/>
        </c:manualLayout>
      </c:layout>
      <c:areaChart>
        <c:grouping val="standard"/>
        <c:varyColors val="0"/>
        <c:ser>
          <c:idx val="0"/>
          <c:order val="0"/>
          <c:tx>
            <c:strRef>
              <c:f>'Pivot Report'!$E$4</c:f>
              <c:strCache>
                <c:ptCount val="1"/>
                <c:pt idx="0">
                  <c:v>Total</c:v>
                </c:pt>
              </c:strCache>
            </c:strRef>
          </c:tx>
          <c:spPr>
            <a:solidFill>
              <a:schemeClr val="accent5">
                <a:lumMod val="50000"/>
              </a:schemeClr>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BCB9-4EE7-A259-EE6587466357}"/>
            </c:ext>
          </c:extLst>
        </c:ser>
        <c:dLbls>
          <c:showLegendKey val="0"/>
          <c:showVal val="0"/>
          <c:showCatName val="0"/>
          <c:showSerName val="0"/>
          <c:showPercent val="0"/>
          <c:showBubbleSize val="0"/>
        </c:dLbls>
        <c:axId val="1781568319"/>
        <c:axId val="1781568799"/>
      </c:areaChart>
      <c:catAx>
        <c:axId val="1781568319"/>
        <c:scaling>
          <c:orientation val="minMax"/>
        </c:scaling>
        <c:delete val="1"/>
        <c:axPos val="b"/>
        <c:numFmt formatCode="General" sourceLinked="1"/>
        <c:majorTickMark val="out"/>
        <c:minorTickMark val="none"/>
        <c:tickLblPos val="nextTo"/>
        <c:crossAx val="1781568799"/>
        <c:crosses val="autoZero"/>
        <c:auto val="1"/>
        <c:lblAlgn val="ctr"/>
        <c:lblOffset val="100"/>
        <c:noMultiLvlLbl val="0"/>
      </c:catAx>
      <c:valAx>
        <c:axId val="1781568799"/>
        <c:scaling>
          <c:orientation val="minMax"/>
        </c:scaling>
        <c:delete val="1"/>
        <c:axPos val="l"/>
        <c:numFmt formatCode="General" sourceLinked="1"/>
        <c:majorTickMark val="none"/>
        <c:minorTickMark val="none"/>
        <c:tickLblPos val="nextTo"/>
        <c:crossAx val="1781568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00406199922188"/>
          <c:w val="1"/>
          <c:h val="0.80995938000778123"/>
        </c:manualLayout>
      </c:layout>
      <c:areaChart>
        <c:grouping val="standard"/>
        <c:varyColors val="0"/>
        <c:ser>
          <c:idx val="0"/>
          <c:order val="0"/>
          <c:tx>
            <c:strRef>
              <c:f>'Pivot Report'!$H$4</c:f>
              <c:strCache>
                <c:ptCount val="1"/>
                <c:pt idx="0">
                  <c:v>Total</c:v>
                </c:pt>
              </c:strCache>
            </c:strRef>
          </c:tx>
          <c:spPr>
            <a:solidFill>
              <a:schemeClr val="accent5">
                <a:lumMod val="50000"/>
              </a:schemeClr>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BAB5-4CF1-B238-7D40FE5AD2C3}"/>
            </c:ext>
          </c:extLst>
        </c:ser>
        <c:dLbls>
          <c:showLegendKey val="0"/>
          <c:showVal val="0"/>
          <c:showCatName val="0"/>
          <c:showSerName val="0"/>
          <c:showPercent val="0"/>
          <c:showBubbleSize val="0"/>
        </c:dLbls>
        <c:axId val="1901538447"/>
        <c:axId val="1901528847"/>
      </c:areaChart>
      <c:catAx>
        <c:axId val="1901538447"/>
        <c:scaling>
          <c:orientation val="minMax"/>
        </c:scaling>
        <c:delete val="1"/>
        <c:axPos val="b"/>
        <c:numFmt formatCode="General" sourceLinked="1"/>
        <c:majorTickMark val="out"/>
        <c:minorTickMark val="none"/>
        <c:tickLblPos val="nextTo"/>
        <c:crossAx val="1901528847"/>
        <c:crosses val="autoZero"/>
        <c:auto val="1"/>
        <c:lblAlgn val="ctr"/>
        <c:lblOffset val="100"/>
        <c:noMultiLvlLbl val="0"/>
      </c:catAx>
      <c:valAx>
        <c:axId val="1901528847"/>
        <c:scaling>
          <c:orientation val="minMax"/>
        </c:scaling>
        <c:delete val="1"/>
        <c:axPos val="l"/>
        <c:numFmt formatCode="0.00" sourceLinked="1"/>
        <c:majorTickMark val="none"/>
        <c:minorTickMark val="none"/>
        <c:tickLblPos val="nextTo"/>
        <c:crossAx val="1901538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8948357743490423E-2"/>
          <c:w val="1"/>
          <c:h val="0.90105164225650947"/>
        </c:manualLayout>
      </c:layout>
      <c:areaChart>
        <c:grouping val="standard"/>
        <c:varyColors val="0"/>
        <c:ser>
          <c:idx val="0"/>
          <c:order val="0"/>
          <c:tx>
            <c:strRef>
              <c:f>'Pivot Report'!$K$4</c:f>
              <c:strCache>
                <c:ptCount val="1"/>
                <c:pt idx="0">
                  <c:v>Total</c:v>
                </c:pt>
              </c:strCache>
            </c:strRef>
          </c:tx>
          <c:spPr>
            <a:solidFill>
              <a:schemeClr val="accent5">
                <a:lumMod val="50000"/>
              </a:schemeClr>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DD18-4D7D-B37A-DE301156D074}"/>
            </c:ext>
          </c:extLst>
        </c:ser>
        <c:dLbls>
          <c:showLegendKey val="0"/>
          <c:showVal val="0"/>
          <c:showCatName val="0"/>
          <c:showSerName val="0"/>
          <c:showPercent val="0"/>
          <c:showBubbleSize val="0"/>
        </c:dLbls>
        <c:axId val="1781567839"/>
        <c:axId val="1781568319"/>
      </c:areaChart>
      <c:catAx>
        <c:axId val="1781567839"/>
        <c:scaling>
          <c:orientation val="minMax"/>
        </c:scaling>
        <c:delete val="1"/>
        <c:axPos val="b"/>
        <c:numFmt formatCode="General" sourceLinked="1"/>
        <c:majorTickMark val="out"/>
        <c:minorTickMark val="none"/>
        <c:tickLblPos val="nextTo"/>
        <c:crossAx val="1781568319"/>
        <c:crosses val="autoZero"/>
        <c:auto val="1"/>
        <c:lblAlgn val="ctr"/>
        <c:lblOffset val="100"/>
        <c:noMultiLvlLbl val="0"/>
      </c:catAx>
      <c:valAx>
        <c:axId val="1781568319"/>
        <c:scaling>
          <c:orientation val="minMax"/>
        </c:scaling>
        <c:delete val="1"/>
        <c:axPos val="l"/>
        <c:numFmt formatCode="0.00" sourceLinked="1"/>
        <c:majorTickMark val="none"/>
        <c:minorTickMark val="none"/>
        <c:tickLblPos val="nextTo"/>
        <c:crossAx val="17815678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248628645735569E-2"/>
          <c:y val="3.2885886573696668E-3"/>
          <c:w val="0.90375228304131761"/>
          <c:h val="0.79377708609841158"/>
        </c:manualLayout>
      </c:layout>
      <c:barChart>
        <c:barDir val="col"/>
        <c:grouping val="clustered"/>
        <c:varyColors val="0"/>
        <c:ser>
          <c:idx val="0"/>
          <c:order val="0"/>
          <c:tx>
            <c:strRef>
              <c:f>'Pivot Report'!$B$46</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Report'!$A$47:$A$55</c:f>
              <c:strCache>
                <c:ptCount val="8"/>
                <c:pt idx="0">
                  <c:v>0-09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ADCE-4C0B-A947-4CC35AB50EC3}"/>
            </c:ext>
          </c:extLst>
        </c:ser>
        <c:dLbls>
          <c:showLegendKey val="0"/>
          <c:showVal val="0"/>
          <c:showCatName val="0"/>
          <c:showSerName val="0"/>
          <c:showPercent val="0"/>
          <c:showBubbleSize val="0"/>
        </c:dLbls>
        <c:gapWidth val="219"/>
        <c:overlap val="-27"/>
        <c:axId val="1941039807"/>
        <c:axId val="1941035487"/>
      </c:barChart>
      <c:catAx>
        <c:axId val="194103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41035487"/>
        <c:crosses val="autoZero"/>
        <c:auto val="1"/>
        <c:lblAlgn val="ctr"/>
        <c:lblOffset val="100"/>
        <c:noMultiLvlLbl val="0"/>
      </c:catAx>
      <c:valAx>
        <c:axId val="1941035487"/>
        <c:scaling>
          <c:orientation val="minMax"/>
        </c:scaling>
        <c:delete val="1"/>
        <c:axPos val="l"/>
        <c:numFmt formatCode="0" sourceLinked="1"/>
        <c:majorTickMark val="none"/>
        <c:minorTickMark val="none"/>
        <c:tickLblPos val="nextTo"/>
        <c:crossAx val="194103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5">
              <a:lumMod val="60000"/>
              <a:lumOff val="40000"/>
            </a:schemeClr>
          </a:solidFill>
          <a:ln>
            <a:noFill/>
          </a:ln>
          <a:effectLst/>
        </c:spPr>
      </c:pivotFmt>
    </c:pivotFmts>
    <c:plotArea>
      <c:layout>
        <c:manualLayout>
          <c:layoutTarget val="inner"/>
          <c:xMode val="edge"/>
          <c:yMode val="edge"/>
          <c:x val="0.1576284462031938"/>
          <c:y val="0.15061934139308281"/>
          <c:w val="0.73932185805627193"/>
          <c:h val="0.85107974640708428"/>
        </c:manualLayout>
      </c:layout>
      <c:pieChart>
        <c:varyColors val="1"/>
        <c:ser>
          <c:idx val="0"/>
          <c:order val="0"/>
          <c:tx>
            <c:strRef>
              <c:f>'Pivot Report'!$B$58</c:f>
              <c:strCache>
                <c:ptCount val="1"/>
                <c:pt idx="0">
                  <c:v>Total</c:v>
                </c:pt>
              </c:strCache>
            </c:strRef>
          </c:tx>
          <c:spPr>
            <a:solidFill>
              <a:schemeClr val="accent5">
                <a:lumMod val="60000"/>
                <a:lumOff val="40000"/>
              </a:schemeClr>
            </a:solidFill>
            <a:effectLst/>
          </c:spPr>
          <c:dPt>
            <c:idx val="0"/>
            <c:bubble3D val="0"/>
            <c:spPr>
              <a:solidFill>
                <a:schemeClr val="accent5">
                  <a:lumMod val="50000"/>
                </a:schemeClr>
              </a:solidFill>
              <a:ln>
                <a:noFill/>
              </a:ln>
              <a:effectLst/>
            </c:spPr>
            <c:extLst>
              <c:ext xmlns:c16="http://schemas.microsoft.com/office/drawing/2014/chart" uri="{C3380CC4-5D6E-409C-BE32-E72D297353CC}">
                <c16:uniqueId val="{00000001-8B8E-4563-8094-968715B89E28}"/>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8B8E-4563-8094-968715B89E28}"/>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Report'!$A$59:$A$61</c:f>
              <c:strCache>
                <c:ptCount val="2"/>
                <c:pt idx="0">
                  <c:v>Delay</c:v>
                </c:pt>
                <c:pt idx="1">
                  <c:v>Ontime</c:v>
                </c:pt>
              </c:strCache>
            </c:strRef>
          </c:cat>
          <c:val>
            <c:numRef>
              <c:f>'Pivot Report'!$B$59:$B$61</c:f>
              <c:numCache>
                <c:formatCode>0</c:formatCode>
                <c:ptCount val="2"/>
                <c:pt idx="0">
                  <c:v>325</c:v>
                </c:pt>
                <c:pt idx="1">
                  <c:v>188</c:v>
                </c:pt>
              </c:numCache>
            </c:numRef>
          </c:val>
          <c:extLst>
            <c:ext xmlns:c16="http://schemas.microsoft.com/office/drawing/2014/chart" uri="{C3380CC4-5D6E-409C-BE32-E72D297353CC}">
              <c16:uniqueId val="{00000007-18DE-4257-9F9A-B55545940B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7086201077323069E-2"/>
          <c:y val="1.1393433568222486E-2"/>
          <c:w val="0.90754647248448916"/>
          <c:h val="9.114251574474202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Report!PivotTable10</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5">
              <a:lumMod val="60000"/>
              <a:lumOff val="40000"/>
            </a:schemeClr>
          </a:solidFill>
          <a:ln>
            <a:noFill/>
          </a:ln>
          <a:effectLst/>
        </c:spPr>
      </c:pivotFmt>
    </c:pivotFmts>
    <c:plotArea>
      <c:layout>
        <c:manualLayout>
          <c:layoutTarget val="inner"/>
          <c:xMode val="edge"/>
          <c:yMode val="edge"/>
          <c:x val="0.12811322152285093"/>
          <c:y val="0.21060054097904285"/>
          <c:w val="0.710015861434238"/>
          <c:h val="0.6652135798342923"/>
        </c:manualLayout>
      </c:layout>
      <c:doughnutChart>
        <c:varyColors val="1"/>
        <c:ser>
          <c:idx val="0"/>
          <c:order val="0"/>
          <c:tx>
            <c:strRef>
              <c:f>'Pivot Report'!$B$64</c:f>
              <c:strCache>
                <c:ptCount val="1"/>
                <c:pt idx="0">
                  <c:v>Total</c:v>
                </c:pt>
              </c:strCache>
            </c:strRef>
          </c:tx>
          <c:spPr>
            <a:effectLst/>
          </c:spPr>
          <c:dPt>
            <c:idx val="0"/>
            <c:bubble3D val="0"/>
            <c:spPr>
              <a:solidFill>
                <a:schemeClr val="accent5">
                  <a:lumMod val="50000"/>
                </a:schemeClr>
              </a:solidFill>
              <a:ln>
                <a:noFill/>
              </a:ln>
              <a:effectLst/>
            </c:spPr>
            <c:extLst>
              <c:ext xmlns:c16="http://schemas.microsoft.com/office/drawing/2014/chart" uri="{C3380CC4-5D6E-409C-BE32-E72D297353CC}">
                <c16:uniqueId val="{00000001-531D-42C3-AB8A-4B97CF0CE04D}"/>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531D-42C3-AB8A-4B97CF0CE04D}"/>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Female</c:v>
                </c:pt>
                <c:pt idx="1">
                  <c:v>grand Total</c:v>
                </c:pt>
              </c:strCache>
            </c:strRef>
          </c:cat>
          <c:val>
            <c:numRef>
              <c:f>'Pivot Report'!$B$65:$B$67</c:f>
              <c:numCache>
                <c:formatCode>0</c:formatCode>
                <c:ptCount val="2"/>
                <c:pt idx="0">
                  <c:v>241</c:v>
                </c:pt>
                <c:pt idx="1">
                  <c:v>272</c:v>
                </c:pt>
              </c:numCache>
            </c:numRef>
          </c:val>
          <c:extLst>
            <c:ext xmlns:c16="http://schemas.microsoft.com/office/drawing/2014/chart" uri="{C3380CC4-5D6E-409C-BE32-E72D297353CC}">
              <c16:uniqueId val="{00000007-8585-4072-BE5F-23D7F8C9D5B4}"/>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
          <c:y val="2.3547185704497248E-3"/>
          <c:w val="1"/>
          <c:h val="0.1963302444934922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Report!PivotTable11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71281503159577"/>
          <c:y val="3.206341992981393E-2"/>
          <c:w val="0.61376916375302415"/>
          <c:h val="0.87976217526319767"/>
        </c:manualLayout>
      </c:layout>
      <c:barChart>
        <c:barDir val="bar"/>
        <c:grouping val="clustered"/>
        <c:varyColors val="0"/>
        <c:ser>
          <c:idx val="0"/>
          <c:order val="0"/>
          <c:tx>
            <c:strRef>
              <c:f>'Pivot Report'!$B$70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Report'!$A$71:$A$79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Report'!$B$71:$B$79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C7BF-4A62-A47F-5EFCB635BBE9}"/>
            </c:ext>
          </c:extLst>
        </c:ser>
        <c:dLbls>
          <c:showLegendKey val="0"/>
          <c:showVal val="0"/>
          <c:showCatName val="0"/>
          <c:showSerName val="0"/>
          <c:showPercent val="0"/>
          <c:showBubbleSize val="0"/>
        </c:dLbls>
        <c:gapWidth val="72"/>
        <c:axId val="1944959647"/>
        <c:axId val="1944955807"/>
      </c:barChart>
      <c:catAx>
        <c:axId val="194495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44955807"/>
        <c:crosses val="autoZero"/>
        <c:auto val="1"/>
        <c:lblAlgn val="ctr"/>
        <c:lblOffset val="100"/>
        <c:noMultiLvlLbl val="0"/>
      </c:catAx>
      <c:valAx>
        <c:axId val="1944955807"/>
        <c:scaling>
          <c:orientation val="minMax"/>
        </c:scaling>
        <c:delete val="1"/>
        <c:axPos val="b"/>
        <c:numFmt formatCode="0" sourceLinked="1"/>
        <c:majorTickMark val="none"/>
        <c:minorTickMark val="none"/>
        <c:tickLblPos val="nextTo"/>
        <c:crossAx val="194495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BA7A-4F46-9B06-3582C554BDFD}"/>
            </c:ext>
          </c:extLst>
        </c:ser>
        <c:dLbls>
          <c:showLegendKey val="0"/>
          <c:showVal val="0"/>
          <c:showCatName val="0"/>
          <c:showSerName val="0"/>
          <c:showPercent val="0"/>
          <c:showBubbleSize val="0"/>
        </c:dLbls>
        <c:axId val="1781568319"/>
        <c:axId val="1781568799"/>
      </c:areaChart>
      <c:catAx>
        <c:axId val="17815683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568799"/>
        <c:crosses val="autoZero"/>
        <c:auto val="1"/>
        <c:lblAlgn val="ctr"/>
        <c:lblOffset val="100"/>
        <c:noMultiLvlLbl val="0"/>
      </c:catAx>
      <c:valAx>
        <c:axId val="1781568799"/>
        <c:scaling>
          <c:orientation val="minMax"/>
        </c:scaling>
        <c:delete val="1"/>
        <c:axPos val="l"/>
        <c:numFmt formatCode="General" sourceLinked="1"/>
        <c:majorTickMark val="none"/>
        <c:minorTickMark val="none"/>
        <c:tickLblPos val="nextTo"/>
        <c:crossAx val="1781568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[Hospital_Emergency.xlsx]Pivot Report!PivotTable5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00406199922188"/>
          <c:w val="1"/>
          <c:h val="0.80995938000778123"/>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4065-49CE-A818-DDD3EAE7E5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1538447"/>
        <c:axId val="1901528847"/>
      </c:areaChart>
      <c:catAx>
        <c:axId val="19015384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1901528847"/>
        <c:crosses val="autoZero"/>
        <c:auto val="1"/>
        <c:lblAlgn val="ctr"/>
        <c:lblOffset val="100"/>
        <c:noMultiLvlLbl val="0"/>
      </c:catAx>
      <c:valAx>
        <c:axId val="1901528847"/>
        <c:scaling>
          <c:orientation val="minMax"/>
        </c:scaling>
        <c:delete val="1"/>
        <c:axPos val="l"/>
        <c:numFmt formatCode="0.00" sourceLinked="1"/>
        <c:majorTickMark val="out"/>
        <c:minorTickMark val="none"/>
        <c:tickLblPos val="nextTo"/>
        <c:crossAx val="1901538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58296655244221E-2"/>
          <c:y val="2.9772078436320147E-2"/>
          <c:w val="0.95878945166235241"/>
          <c:h val="0.90744059010518474"/>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C640-47C0-AD7F-2562C97D4B5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1567839"/>
        <c:axId val="1781568319"/>
      </c:areaChart>
      <c:catAx>
        <c:axId val="17815678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81568319"/>
        <c:crosses val="autoZero"/>
        <c:auto val="1"/>
        <c:lblAlgn val="ctr"/>
        <c:lblOffset val="100"/>
        <c:noMultiLvlLbl val="0"/>
      </c:catAx>
      <c:valAx>
        <c:axId val="1781568319"/>
        <c:scaling>
          <c:orientation val="minMax"/>
        </c:scaling>
        <c:delete val="1"/>
        <c:axPos val="l"/>
        <c:numFmt formatCode="0.00" sourceLinked="1"/>
        <c:majorTickMark val="out"/>
        <c:minorTickMark val="none"/>
        <c:tickLblPos val="nextTo"/>
        <c:crossAx val="17815678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Satisfaction score daily trends'!A1"/><Relationship Id="rId18" Type="http://schemas.openxmlformats.org/officeDocument/2006/relationships/chart" Target="../charts/chart7.xml"/><Relationship Id="rId3" Type="http://schemas.openxmlformats.org/officeDocument/2006/relationships/hyperlink" Target="#'Daily ER No of patient'!A1"/><Relationship Id="rId7" Type="http://schemas.openxmlformats.org/officeDocument/2006/relationships/image" Target="../media/image5.svg"/><Relationship Id="rId12" Type="http://schemas.openxmlformats.org/officeDocument/2006/relationships/chart" Target="../charts/chart3.xml"/><Relationship Id="rId17" Type="http://schemas.openxmlformats.org/officeDocument/2006/relationships/chart" Target="../charts/chart6.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Average wait time daily trend'!A1"/><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hart" Target="../charts/chart9.xml"/><Relationship Id="rId1" Type="http://schemas.openxmlformats.org/officeDocument/2006/relationships/hyperlink" Target="#Dashboard!A1"/><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hart" Target="../charts/chart10.xml"/><Relationship Id="rId1" Type="http://schemas.openxmlformats.org/officeDocument/2006/relationships/hyperlink" Target="#Dashboard!A1"/><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chart" Target="../charts/chart11.xml"/><Relationship Id="rId6" Type="http://schemas.openxmlformats.org/officeDocument/2006/relationships/image" Target="../media/image13.svg"/><Relationship Id="rId5" Type="http://schemas.openxmlformats.org/officeDocument/2006/relationships/image" Target="../media/image12.png"/><Relationship Id="rId4"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40</xdr:row>
      <xdr:rowOff>163830</xdr:rowOff>
    </xdr:from>
    <xdr:to>
      <xdr:col>3</xdr:col>
      <xdr:colOff>1630680</xdr:colOff>
      <xdr:row>43</xdr:row>
      <xdr:rowOff>0</xdr:rowOff>
    </xdr:to>
    <xdr:graphicFrame macro="">
      <xdr:nvGraphicFramePr>
        <xdr:cNvPr id="7" name="Chart 6">
          <a:extLst>
            <a:ext uri="{FF2B5EF4-FFF2-40B4-BE49-F238E27FC236}">
              <a16:creationId xmlns:a16="http://schemas.microsoft.com/office/drawing/2014/main" id="{09303F21-8BB7-4B23-042C-F3A715E2B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27879</xdr:colOff>
      <xdr:row>0</xdr:row>
      <xdr:rowOff>32525</xdr:rowOff>
    </xdr:from>
    <xdr:to>
      <xdr:col>5</xdr:col>
      <xdr:colOff>274135</xdr:colOff>
      <xdr:row>2</xdr:row>
      <xdr:rowOff>176561</xdr:rowOff>
    </xdr:to>
    <xdr:sp macro="" textlink="">
      <xdr:nvSpPr>
        <xdr:cNvPr id="2" name="Rectangle: Rounded Corners 1">
          <a:extLst>
            <a:ext uri="{FF2B5EF4-FFF2-40B4-BE49-F238E27FC236}">
              <a16:creationId xmlns:a16="http://schemas.microsoft.com/office/drawing/2014/main" id="{263E415E-0BB3-76B1-CAC2-9AEF0C67F766}"/>
            </a:ext>
          </a:extLst>
        </xdr:cNvPr>
        <xdr:cNvSpPr/>
      </xdr:nvSpPr>
      <xdr:spPr>
        <a:xfrm>
          <a:off x="27879" y="32525"/>
          <a:ext cx="3289610" cy="5064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302012</xdr:colOff>
      <xdr:row>0</xdr:row>
      <xdr:rowOff>32525</xdr:rowOff>
    </xdr:from>
    <xdr:to>
      <xdr:col>7</xdr:col>
      <xdr:colOff>269488</xdr:colOff>
      <xdr:row>2</xdr:row>
      <xdr:rowOff>176561</xdr:rowOff>
    </xdr:to>
    <xdr:sp macro="" textlink="">
      <xdr:nvSpPr>
        <xdr:cNvPr id="3" name="Rectangle: Rounded Corners 2">
          <a:extLst>
            <a:ext uri="{FF2B5EF4-FFF2-40B4-BE49-F238E27FC236}">
              <a16:creationId xmlns:a16="http://schemas.microsoft.com/office/drawing/2014/main" id="{CF182526-66E3-BEE6-EF7A-00CADC61A5AF}"/>
            </a:ext>
          </a:extLst>
        </xdr:cNvPr>
        <xdr:cNvSpPr/>
      </xdr:nvSpPr>
      <xdr:spPr>
        <a:xfrm>
          <a:off x="3345366" y="32525"/>
          <a:ext cx="1184817" cy="5064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292720</xdr:colOff>
      <xdr:row>0</xdr:row>
      <xdr:rowOff>32525</xdr:rowOff>
    </xdr:from>
    <xdr:to>
      <xdr:col>9</xdr:col>
      <xdr:colOff>260195</xdr:colOff>
      <xdr:row>6</xdr:row>
      <xdr:rowOff>176561</xdr:rowOff>
    </xdr:to>
    <xdr:sp macro="" textlink="">
      <xdr:nvSpPr>
        <xdr:cNvPr id="4" name="Rectangle: Rounded Corners 3">
          <a:extLst>
            <a:ext uri="{FF2B5EF4-FFF2-40B4-BE49-F238E27FC236}">
              <a16:creationId xmlns:a16="http://schemas.microsoft.com/office/drawing/2014/main" id="{E4567042-38B8-4D05-79FE-2272FED78A38}"/>
            </a:ext>
          </a:extLst>
        </xdr:cNvPr>
        <xdr:cNvSpPr/>
      </xdr:nvSpPr>
      <xdr:spPr>
        <a:xfrm>
          <a:off x="4559920" y="32525"/>
          <a:ext cx="1186675" cy="1246695"/>
        </a:xfrm>
        <a:prstGeom prst="roundRect">
          <a:avLst>
            <a:gd name="adj" fmla="val 607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292719</xdr:colOff>
      <xdr:row>0</xdr:row>
      <xdr:rowOff>32525</xdr:rowOff>
    </xdr:from>
    <xdr:to>
      <xdr:col>11</xdr:col>
      <xdr:colOff>260195</xdr:colOff>
      <xdr:row>6</xdr:row>
      <xdr:rowOff>176561</xdr:rowOff>
    </xdr:to>
    <xdr:sp macro="" textlink="">
      <xdr:nvSpPr>
        <xdr:cNvPr id="5" name="Rectangle: Rounded Corners 4">
          <a:extLst>
            <a:ext uri="{FF2B5EF4-FFF2-40B4-BE49-F238E27FC236}">
              <a16:creationId xmlns:a16="http://schemas.microsoft.com/office/drawing/2014/main" id="{E3602323-1D05-B970-B7A6-25EDB72182EF}"/>
            </a:ext>
          </a:extLst>
        </xdr:cNvPr>
        <xdr:cNvSpPr/>
      </xdr:nvSpPr>
      <xdr:spPr>
        <a:xfrm>
          <a:off x="5796592" y="32525"/>
          <a:ext cx="1190558" cy="1250635"/>
        </a:xfrm>
        <a:prstGeom prst="roundRect">
          <a:avLst>
            <a:gd name="adj" fmla="val 607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32526</xdr:colOff>
      <xdr:row>3</xdr:row>
      <xdr:rowOff>46464</xdr:rowOff>
    </xdr:from>
    <xdr:to>
      <xdr:col>1</xdr:col>
      <xdr:colOff>236963</xdr:colOff>
      <xdr:row>16</xdr:row>
      <xdr:rowOff>13939</xdr:rowOff>
    </xdr:to>
    <xdr:sp macro="" textlink="">
      <xdr:nvSpPr>
        <xdr:cNvPr id="6" name="Rectangle: Rounded Corners 5">
          <a:extLst>
            <a:ext uri="{FF2B5EF4-FFF2-40B4-BE49-F238E27FC236}">
              <a16:creationId xmlns:a16="http://schemas.microsoft.com/office/drawing/2014/main" id="{621ABCB1-601F-DA03-E9C6-0FE913FD486F}"/>
            </a:ext>
          </a:extLst>
        </xdr:cNvPr>
        <xdr:cNvSpPr/>
      </xdr:nvSpPr>
      <xdr:spPr>
        <a:xfrm>
          <a:off x="32526" y="590086"/>
          <a:ext cx="813108" cy="2323170"/>
        </a:xfrm>
        <a:prstGeom prst="roundRect">
          <a:avLst>
            <a:gd name="adj" fmla="val 42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278781</xdr:colOff>
      <xdr:row>3</xdr:row>
      <xdr:rowOff>46464</xdr:rowOff>
    </xdr:from>
    <xdr:to>
      <xdr:col>3</xdr:col>
      <xdr:colOff>230707</xdr:colOff>
      <xdr:row>7</xdr:row>
      <xdr:rowOff>106866</xdr:rowOff>
    </xdr:to>
    <xdr:sp macro="" textlink="">
      <xdr:nvSpPr>
        <xdr:cNvPr id="7" name="Rectangle: Rounded Corners 6">
          <a:extLst>
            <a:ext uri="{FF2B5EF4-FFF2-40B4-BE49-F238E27FC236}">
              <a16:creationId xmlns:a16="http://schemas.microsoft.com/office/drawing/2014/main" id="{3E61AA00-C595-033E-EA96-A11C6BB6F25F}"/>
            </a:ext>
          </a:extLst>
        </xdr:cNvPr>
        <xdr:cNvSpPr/>
      </xdr:nvSpPr>
      <xdr:spPr>
        <a:xfrm>
          <a:off x="888381" y="589389"/>
          <a:ext cx="1171126" cy="784302"/>
        </a:xfrm>
        <a:prstGeom prst="roundRect">
          <a:avLst>
            <a:gd name="adj" fmla="val 42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298173</xdr:colOff>
      <xdr:row>3</xdr:row>
      <xdr:rowOff>46629</xdr:rowOff>
    </xdr:from>
    <xdr:to>
      <xdr:col>5</xdr:col>
      <xdr:colOff>250098</xdr:colOff>
      <xdr:row>7</xdr:row>
      <xdr:rowOff>107031</xdr:rowOff>
    </xdr:to>
    <xdr:sp macro="" textlink="">
      <xdr:nvSpPr>
        <xdr:cNvPr id="8" name="Rectangle: Rounded Corners 7">
          <a:extLst>
            <a:ext uri="{FF2B5EF4-FFF2-40B4-BE49-F238E27FC236}">
              <a16:creationId xmlns:a16="http://schemas.microsoft.com/office/drawing/2014/main" id="{33C5A7D2-FAAE-257B-A802-99CBD43EDD71}"/>
            </a:ext>
          </a:extLst>
        </xdr:cNvPr>
        <xdr:cNvSpPr/>
      </xdr:nvSpPr>
      <xdr:spPr>
        <a:xfrm>
          <a:off x="2126973" y="589554"/>
          <a:ext cx="1171125" cy="784302"/>
        </a:xfrm>
        <a:prstGeom prst="roundRect">
          <a:avLst>
            <a:gd name="adj" fmla="val 42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317563</xdr:colOff>
      <xdr:row>3</xdr:row>
      <xdr:rowOff>46464</xdr:rowOff>
    </xdr:from>
    <xdr:to>
      <xdr:col>7</xdr:col>
      <xdr:colOff>269489</xdr:colOff>
      <xdr:row>7</xdr:row>
      <xdr:rowOff>106866</xdr:rowOff>
    </xdr:to>
    <xdr:sp macro="" textlink="">
      <xdr:nvSpPr>
        <xdr:cNvPr id="9" name="Rectangle: Rounded Corners 8">
          <a:extLst>
            <a:ext uri="{FF2B5EF4-FFF2-40B4-BE49-F238E27FC236}">
              <a16:creationId xmlns:a16="http://schemas.microsoft.com/office/drawing/2014/main" id="{A723A848-7D6F-5ECC-A595-0CC6FB8B7098}"/>
            </a:ext>
          </a:extLst>
        </xdr:cNvPr>
        <xdr:cNvSpPr/>
      </xdr:nvSpPr>
      <xdr:spPr>
        <a:xfrm>
          <a:off x="3360917" y="590086"/>
          <a:ext cx="1169267" cy="785231"/>
        </a:xfrm>
        <a:prstGeom prst="roundRect">
          <a:avLst>
            <a:gd name="adj" fmla="val 42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274135</xdr:colOff>
      <xdr:row>10</xdr:row>
      <xdr:rowOff>139390</xdr:rowOff>
    </xdr:from>
    <xdr:to>
      <xdr:col>7</xdr:col>
      <xdr:colOff>269488</xdr:colOff>
      <xdr:row>16</xdr:row>
      <xdr:rowOff>2</xdr:rowOff>
    </xdr:to>
    <xdr:sp macro="" textlink="">
      <xdr:nvSpPr>
        <xdr:cNvPr id="11" name="Rectangle: Rounded Corners 10">
          <a:extLst>
            <a:ext uri="{FF2B5EF4-FFF2-40B4-BE49-F238E27FC236}">
              <a16:creationId xmlns:a16="http://schemas.microsoft.com/office/drawing/2014/main" id="{E182BE50-BA58-9E71-C266-3E3C0E974CEA}"/>
            </a:ext>
          </a:extLst>
        </xdr:cNvPr>
        <xdr:cNvSpPr/>
      </xdr:nvSpPr>
      <xdr:spPr>
        <a:xfrm>
          <a:off x="882806" y="1951463"/>
          <a:ext cx="3647377" cy="947856"/>
        </a:xfrm>
        <a:prstGeom prst="roundRect">
          <a:avLst>
            <a:gd name="adj" fmla="val 42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302012</xdr:colOff>
      <xdr:row>7</xdr:row>
      <xdr:rowOff>37172</xdr:rowOff>
    </xdr:from>
    <xdr:to>
      <xdr:col>11</xdr:col>
      <xdr:colOff>264842</xdr:colOff>
      <xdr:row>16</xdr:row>
      <xdr:rowOff>0</xdr:rowOff>
    </xdr:to>
    <xdr:sp macro="" textlink="">
      <xdr:nvSpPr>
        <xdr:cNvPr id="18" name="Rectangle: Rounded Corners 17">
          <a:extLst>
            <a:ext uri="{FF2B5EF4-FFF2-40B4-BE49-F238E27FC236}">
              <a16:creationId xmlns:a16="http://schemas.microsoft.com/office/drawing/2014/main" id="{AFBC6710-7498-9518-FBAD-3B7452F64625}"/>
            </a:ext>
          </a:extLst>
        </xdr:cNvPr>
        <xdr:cNvSpPr/>
      </xdr:nvSpPr>
      <xdr:spPr>
        <a:xfrm>
          <a:off x="4562707" y="1305623"/>
          <a:ext cx="2397513" cy="1593694"/>
        </a:xfrm>
        <a:prstGeom prst="roundRect">
          <a:avLst>
            <a:gd name="adj" fmla="val 607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599377</xdr:colOff>
      <xdr:row>0</xdr:row>
      <xdr:rowOff>97573</xdr:rowOff>
    </xdr:from>
    <xdr:to>
      <xdr:col>4</xdr:col>
      <xdr:colOff>604024</xdr:colOff>
      <xdr:row>1</xdr:row>
      <xdr:rowOff>97573</xdr:rowOff>
    </xdr:to>
    <xdr:sp macro="" textlink="">
      <xdr:nvSpPr>
        <xdr:cNvPr id="19" name="TextBox 18">
          <a:extLst>
            <a:ext uri="{FF2B5EF4-FFF2-40B4-BE49-F238E27FC236}">
              <a16:creationId xmlns:a16="http://schemas.microsoft.com/office/drawing/2014/main" id="{DB9FAABA-3492-A4CD-B4A5-4E2D7DD71805}"/>
            </a:ext>
          </a:extLst>
        </xdr:cNvPr>
        <xdr:cNvSpPr txBox="1"/>
      </xdr:nvSpPr>
      <xdr:spPr>
        <a:xfrm>
          <a:off x="599377" y="97573"/>
          <a:ext cx="2443047" cy="18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 Emergency Room Dashboard</a:t>
          </a:r>
        </a:p>
      </xdr:txBody>
    </xdr:sp>
    <xdr:clientData/>
  </xdr:twoCellAnchor>
  <xdr:twoCellAnchor editAs="oneCell">
    <xdr:from>
      <xdr:col>0</xdr:col>
      <xdr:colOff>80682</xdr:colOff>
      <xdr:row>0</xdr:row>
      <xdr:rowOff>0</xdr:rowOff>
    </xdr:from>
    <xdr:to>
      <xdr:col>1</xdr:col>
      <xdr:colOff>58270</xdr:colOff>
      <xdr:row>3</xdr:row>
      <xdr:rowOff>35859</xdr:rowOff>
    </xdr:to>
    <xdr:pic>
      <xdr:nvPicPr>
        <xdr:cNvPr id="23" name="Picture 22">
          <a:extLst>
            <a:ext uri="{FF2B5EF4-FFF2-40B4-BE49-F238E27FC236}">
              <a16:creationId xmlns:a16="http://schemas.microsoft.com/office/drawing/2014/main" id="{F9EA83BD-6342-A464-9652-7686FD4BFEA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3000" r="97778">
                      <a14:foregroundMark x1="9222" y1="33000" x2="9222" y2="33000"/>
                      <a14:foregroundMark x1="50444" y1="30444" x2="50444" y2="30444"/>
                      <a14:foregroundMark x1="3222" y1="80111" x2="3222" y2="80111"/>
                      <a14:foregroundMark x1="94222" y1="81000" x2="94222" y2="81000"/>
                      <a14:foregroundMark x1="97778" y1="80222" x2="97778" y2="80222"/>
                    </a14:backgroundRemoval>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80682" y="0"/>
          <a:ext cx="587188" cy="587188"/>
        </a:xfrm>
        <a:prstGeom prst="rect">
          <a:avLst/>
        </a:prstGeom>
      </xdr:spPr>
    </xdr:pic>
    <xdr:clientData/>
  </xdr:twoCellAnchor>
  <xdr:twoCellAnchor editAs="absolute">
    <xdr:from>
      <xdr:col>2</xdr:col>
      <xdr:colOff>121025</xdr:colOff>
      <xdr:row>1</xdr:row>
      <xdr:rowOff>116543</xdr:rowOff>
    </xdr:from>
    <xdr:to>
      <xdr:col>3</xdr:col>
      <xdr:colOff>264459</xdr:colOff>
      <xdr:row>2</xdr:row>
      <xdr:rowOff>98612</xdr:rowOff>
    </xdr:to>
    <xdr:sp macro="" textlink="">
      <xdr:nvSpPr>
        <xdr:cNvPr id="60" name="TextBox 59">
          <a:extLst>
            <a:ext uri="{FF2B5EF4-FFF2-40B4-BE49-F238E27FC236}">
              <a16:creationId xmlns:a16="http://schemas.microsoft.com/office/drawing/2014/main" id="{C4DEA289-16C0-8F0F-70FC-B5155DEB4B36}"/>
            </a:ext>
          </a:extLst>
        </xdr:cNvPr>
        <xdr:cNvSpPr txBox="1"/>
      </xdr:nvSpPr>
      <xdr:spPr>
        <a:xfrm>
          <a:off x="1340225" y="300319"/>
          <a:ext cx="753034" cy="165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 Report</a:t>
          </a:r>
        </a:p>
      </xdr:txBody>
    </xdr:sp>
    <xdr:clientData/>
  </xdr:twoCellAnchor>
  <xdr:twoCellAnchor editAs="absolute">
    <xdr:from>
      <xdr:col>1</xdr:col>
      <xdr:colOff>259977</xdr:colOff>
      <xdr:row>4</xdr:row>
      <xdr:rowOff>165847</xdr:rowOff>
    </xdr:from>
    <xdr:to>
      <xdr:col>3</xdr:col>
      <xdr:colOff>215153</xdr:colOff>
      <xdr:row>5</xdr:row>
      <xdr:rowOff>150813</xdr:rowOff>
    </xdr:to>
    <xdr:sp macro="" textlink="">
      <xdr:nvSpPr>
        <xdr:cNvPr id="62" name="TextBox 61">
          <a:hlinkClick xmlns:r="http://schemas.openxmlformats.org/officeDocument/2006/relationships" r:id="rId3"/>
          <a:extLst>
            <a:ext uri="{FF2B5EF4-FFF2-40B4-BE49-F238E27FC236}">
              <a16:creationId xmlns:a16="http://schemas.microsoft.com/office/drawing/2014/main" id="{DD57C860-98B6-4A84-8775-10B2251C8AD6}"/>
            </a:ext>
          </a:extLst>
        </xdr:cNvPr>
        <xdr:cNvSpPr txBox="1"/>
      </xdr:nvSpPr>
      <xdr:spPr>
        <a:xfrm>
          <a:off x="869577" y="900953"/>
          <a:ext cx="1174376" cy="16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No.of Patient</a:t>
          </a:r>
        </a:p>
        <a:p>
          <a:pPr algn="ctr"/>
          <a:endParaRPr lang="en-IN" sz="800"/>
        </a:p>
      </xdr:txBody>
    </xdr:sp>
    <xdr:clientData/>
  </xdr:twoCellAnchor>
  <xdr:twoCellAnchor editAs="absolute">
    <xdr:from>
      <xdr:col>1</xdr:col>
      <xdr:colOff>273423</xdr:colOff>
      <xdr:row>3</xdr:row>
      <xdr:rowOff>143436</xdr:rowOff>
    </xdr:from>
    <xdr:to>
      <xdr:col>3</xdr:col>
      <xdr:colOff>219634</xdr:colOff>
      <xdr:row>4</xdr:row>
      <xdr:rowOff>90961</xdr:rowOff>
    </xdr:to>
    <xdr:sp macro="" textlink="'Pivot Report'!A5">
      <xdr:nvSpPr>
        <xdr:cNvPr id="63" name="TextBox 62">
          <a:extLst>
            <a:ext uri="{FF2B5EF4-FFF2-40B4-BE49-F238E27FC236}">
              <a16:creationId xmlns:a16="http://schemas.microsoft.com/office/drawing/2014/main" id="{03E8BAC7-30F8-4E81-83CA-4B2B2D68A893}"/>
            </a:ext>
          </a:extLst>
        </xdr:cNvPr>
        <xdr:cNvSpPr txBox="1"/>
      </xdr:nvSpPr>
      <xdr:spPr>
        <a:xfrm>
          <a:off x="883023" y="694765"/>
          <a:ext cx="1165411" cy="13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9E662F-0AC1-4E39-99AA-E75D70DDF92B}" type="TxLink">
            <a:rPr lang="en-US" sz="1100" b="0" i="0" u="none" strike="noStrike">
              <a:solidFill>
                <a:srgbClr val="000000"/>
              </a:solidFill>
              <a:latin typeface="Calibri"/>
              <a:ea typeface="Calibri"/>
              <a:cs typeface="Calibri"/>
            </a:rPr>
            <a:pPr algn="ctr"/>
            <a:t>513</a:t>
          </a:fld>
          <a:endParaRPr lang="en-IN" sz="1100"/>
        </a:p>
      </xdr:txBody>
    </xdr:sp>
    <xdr:clientData/>
  </xdr:twoCellAnchor>
  <xdr:twoCellAnchor editAs="absolute">
    <xdr:from>
      <xdr:col>3</xdr:col>
      <xdr:colOff>291353</xdr:colOff>
      <xdr:row>4</xdr:row>
      <xdr:rowOff>165847</xdr:rowOff>
    </xdr:from>
    <xdr:to>
      <xdr:col>5</xdr:col>
      <xdr:colOff>246529</xdr:colOff>
      <xdr:row>5</xdr:row>
      <xdr:rowOff>150813</xdr:rowOff>
    </xdr:to>
    <xdr:sp macro="" textlink="">
      <xdr:nvSpPr>
        <xdr:cNvPr id="64" name="TextBox 63">
          <a:extLst>
            <a:ext uri="{FF2B5EF4-FFF2-40B4-BE49-F238E27FC236}">
              <a16:creationId xmlns:a16="http://schemas.microsoft.com/office/drawing/2014/main" id="{61691049-DA06-332C-F236-2D373CD77604}"/>
            </a:ext>
          </a:extLst>
        </xdr:cNvPr>
        <xdr:cNvSpPr txBox="1"/>
      </xdr:nvSpPr>
      <xdr:spPr>
        <a:xfrm>
          <a:off x="2120153" y="900953"/>
          <a:ext cx="1174376" cy="16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 Wait Time</a:t>
          </a:r>
        </a:p>
      </xdr:txBody>
    </xdr:sp>
    <xdr:clientData/>
  </xdr:twoCellAnchor>
  <xdr:twoCellAnchor editAs="absolute">
    <xdr:from>
      <xdr:col>3</xdr:col>
      <xdr:colOff>304799</xdr:colOff>
      <xdr:row>3</xdr:row>
      <xdr:rowOff>143436</xdr:rowOff>
    </xdr:from>
    <xdr:to>
      <xdr:col>5</xdr:col>
      <xdr:colOff>251010</xdr:colOff>
      <xdr:row>4</xdr:row>
      <xdr:rowOff>90961</xdr:rowOff>
    </xdr:to>
    <xdr:sp macro="" textlink="'Pivot Report'!A9">
      <xdr:nvSpPr>
        <xdr:cNvPr id="65" name="TextBox 64">
          <a:extLst>
            <a:ext uri="{FF2B5EF4-FFF2-40B4-BE49-F238E27FC236}">
              <a16:creationId xmlns:a16="http://schemas.microsoft.com/office/drawing/2014/main" id="{83E77951-68E2-5C29-FD86-1FF1B1440A0D}"/>
            </a:ext>
          </a:extLst>
        </xdr:cNvPr>
        <xdr:cNvSpPr txBox="1"/>
      </xdr:nvSpPr>
      <xdr:spPr>
        <a:xfrm>
          <a:off x="2133599" y="694765"/>
          <a:ext cx="1165411" cy="13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F302C0C-9562-4D48-A09D-BED631EF9887}" type="TxLink">
            <a:rPr lang="en-US" sz="1100" b="0" i="0" u="none" strike="noStrike">
              <a:solidFill>
                <a:srgbClr val="000000"/>
              </a:solidFill>
              <a:latin typeface="Calibri"/>
              <a:ea typeface="Calibri"/>
              <a:cs typeface="Calibri"/>
            </a:rPr>
            <a:pPr algn="ctr"/>
            <a:t>36.32</a:t>
          </a:fld>
          <a:endParaRPr lang="en-IN" sz="900"/>
        </a:p>
      </xdr:txBody>
    </xdr:sp>
    <xdr:clientData/>
  </xdr:twoCellAnchor>
  <xdr:twoCellAnchor editAs="absolute">
    <xdr:from>
      <xdr:col>5</xdr:col>
      <xdr:colOff>322729</xdr:colOff>
      <xdr:row>4</xdr:row>
      <xdr:rowOff>165847</xdr:rowOff>
    </xdr:from>
    <xdr:to>
      <xdr:col>7</xdr:col>
      <xdr:colOff>277905</xdr:colOff>
      <xdr:row>5</xdr:row>
      <xdr:rowOff>150813</xdr:rowOff>
    </xdr:to>
    <xdr:sp macro="" textlink="">
      <xdr:nvSpPr>
        <xdr:cNvPr id="66" name="TextBox 65">
          <a:extLst>
            <a:ext uri="{FF2B5EF4-FFF2-40B4-BE49-F238E27FC236}">
              <a16:creationId xmlns:a16="http://schemas.microsoft.com/office/drawing/2014/main" id="{BB258CF2-7F1F-3AF3-82C2-90963D53183E}"/>
            </a:ext>
          </a:extLst>
        </xdr:cNvPr>
        <xdr:cNvSpPr txBox="1"/>
      </xdr:nvSpPr>
      <xdr:spPr>
        <a:xfrm>
          <a:off x="3370729" y="900953"/>
          <a:ext cx="1174376" cy="16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 Score</a:t>
          </a:r>
        </a:p>
        <a:p>
          <a:pPr algn="ctr"/>
          <a:endParaRPr lang="en-IN" sz="800"/>
        </a:p>
      </xdr:txBody>
    </xdr:sp>
    <xdr:clientData/>
  </xdr:twoCellAnchor>
  <xdr:twoCellAnchor editAs="absolute">
    <xdr:from>
      <xdr:col>5</xdr:col>
      <xdr:colOff>336175</xdr:colOff>
      <xdr:row>3</xdr:row>
      <xdr:rowOff>143436</xdr:rowOff>
    </xdr:from>
    <xdr:to>
      <xdr:col>7</xdr:col>
      <xdr:colOff>282386</xdr:colOff>
      <xdr:row>4</xdr:row>
      <xdr:rowOff>90961</xdr:rowOff>
    </xdr:to>
    <xdr:sp macro="" textlink="'Pivot Report'!A12">
      <xdr:nvSpPr>
        <xdr:cNvPr id="67" name="TextBox 66">
          <a:extLst>
            <a:ext uri="{FF2B5EF4-FFF2-40B4-BE49-F238E27FC236}">
              <a16:creationId xmlns:a16="http://schemas.microsoft.com/office/drawing/2014/main" id="{1E996A39-E0B5-F87B-B1A0-F8CBF2EBC1B7}"/>
            </a:ext>
          </a:extLst>
        </xdr:cNvPr>
        <xdr:cNvSpPr txBox="1"/>
      </xdr:nvSpPr>
      <xdr:spPr>
        <a:xfrm>
          <a:off x="3384175" y="694765"/>
          <a:ext cx="1165411" cy="13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A281546-32DD-41C1-B302-A2D3A4AF9B68}" type="TxLink">
            <a:rPr lang="en-US" sz="1100" b="0" i="0" u="none" strike="noStrike">
              <a:solidFill>
                <a:srgbClr val="000000"/>
              </a:solidFill>
              <a:latin typeface="Calibri"/>
              <a:ea typeface="Calibri"/>
              <a:cs typeface="Calibri"/>
            </a:rPr>
            <a:pPr algn="ctr"/>
            <a:t>4.96</a:t>
          </a:fld>
          <a:endParaRPr lang="en-IN" sz="900"/>
        </a:p>
      </xdr:txBody>
    </xdr:sp>
    <xdr:clientData/>
  </xdr:twoCellAnchor>
  <xdr:twoCellAnchor editAs="oneCell">
    <xdr:from>
      <xdr:col>3</xdr:col>
      <xdr:colOff>44824</xdr:colOff>
      <xdr:row>3</xdr:row>
      <xdr:rowOff>58269</xdr:rowOff>
    </xdr:from>
    <xdr:to>
      <xdr:col>3</xdr:col>
      <xdr:colOff>224119</xdr:colOff>
      <xdr:row>4</xdr:row>
      <xdr:rowOff>53787</xdr:rowOff>
    </xdr:to>
    <xdr:pic>
      <xdr:nvPicPr>
        <xdr:cNvPr id="69" name="Graphic 68" descr="Male profile with solid fill">
          <a:extLst>
            <a:ext uri="{FF2B5EF4-FFF2-40B4-BE49-F238E27FC236}">
              <a16:creationId xmlns:a16="http://schemas.microsoft.com/office/drawing/2014/main" id="{247A60A2-3343-690B-D4FC-5F5C2BD7FCE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73624" y="609598"/>
          <a:ext cx="179295" cy="179295"/>
        </a:xfrm>
        <a:prstGeom prst="rect">
          <a:avLst/>
        </a:prstGeom>
      </xdr:spPr>
    </xdr:pic>
    <xdr:clientData/>
  </xdr:twoCellAnchor>
  <xdr:twoCellAnchor editAs="oneCell">
    <xdr:from>
      <xdr:col>7</xdr:col>
      <xdr:colOff>71719</xdr:colOff>
      <xdr:row>3</xdr:row>
      <xdr:rowOff>76201</xdr:rowOff>
    </xdr:from>
    <xdr:to>
      <xdr:col>7</xdr:col>
      <xdr:colOff>255495</xdr:colOff>
      <xdr:row>4</xdr:row>
      <xdr:rowOff>76200</xdr:rowOff>
    </xdr:to>
    <xdr:pic>
      <xdr:nvPicPr>
        <xdr:cNvPr id="71" name="Graphic 70" descr="Customer review with solid fill">
          <a:extLst>
            <a:ext uri="{FF2B5EF4-FFF2-40B4-BE49-F238E27FC236}">
              <a16:creationId xmlns:a16="http://schemas.microsoft.com/office/drawing/2014/main" id="{A996A2AD-EC8C-C233-6034-3D41A9DEAB0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38919" y="627530"/>
          <a:ext cx="183776" cy="183776"/>
        </a:xfrm>
        <a:prstGeom prst="rect">
          <a:avLst/>
        </a:prstGeom>
      </xdr:spPr>
    </xdr:pic>
    <xdr:clientData/>
  </xdr:twoCellAnchor>
  <xdr:twoCellAnchor editAs="oneCell">
    <xdr:from>
      <xdr:col>5</xdr:col>
      <xdr:colOff>85164</xdr:colOff>
      <xdr:row>3</xdr:row>
      <xdr:rowOff>80684</xdr:rowOff>
    </xdr:from>
    <xdr:to>
      <xdr:col>5</xdr:col>
      <xdr:colOff>237565</xdr:colOff>
      <xdr:row>4</xdr:row>
      <xdr:rowOff>49308</xdr:rowOff>
    </xdr:to>
    <xdr:pic>
      <xdr:nvPicPr>
        <xdr:cNvPr id="75" name="Graphic 74" descr="Hourglass Finished with solid fill">
          <a:extLst>
            <a:ext uri="{FF2B5EF4-FFF2-40B4-BE49-F238E27FC236}">
              <a16:creationId xmlns:a16="http://schemas.microsoft.com/office/drawing/2014/main" id="{E73CDBD7-1BEB-7511-BF57-4C084AF539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33164" y="632013"/>
          <a:ext cx="152401" cy="152401"/>
        </a:xfrm>
        <a:prstGeom prst="rect">
          <a:avLst/>
        </a:prstGeom>
      </xdr:spPr>
    </xdr:pic>
    <xdr:clientData/>
  </xdr:twoCellAnchor>
  <xdr:twoCellAnchor editAs="oneCell">
    <xdr:from>
      <xdr:col>0</xdr:col>
      <xdr:colOff>48418</xdr:colOff>
      <xdr:row>3</xdr:row>
      <xdr:rowOff>133350</xdr:rowOff>
    </xdr:from>
    <xdr:to>
      <xdr:col>1</xdr:col>
      <xdr:colOff>179818</xdr:colOff>
      <xdr:row>16</xdr:row>
      <xdr:rowOff>0</xdr:rowOff>
    </xdr:to>
    <mc:AlternateContent xmlns:mc="http://schemas.openxmlformats.org/markup-compatibility/2006" xmlns:a14="http://schemas.microsoft.com/office/drawing/2010/main">
      <mc:Choice Requires="a14">
        <xdr:graphicFrame macro="">
          <xdr:nvGraphicFramePr>
            <xdr:cNvPr id="76" name="Date (Month)">
              <a:extLst>
                <a:ext uri="{FF2B5EF4-FFF2-40B4-BE49-F238E27FC236}">
                  <a16:creationId xmlns:a16="http://schemas.microsoft.com/office/drawing/2014/main" id="{78997018-E903-4F61-8703-9DDE9ED8CCB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8418" y="676275"/>
              <a:ext cx="741000" cy="2219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271463</xdr:colOff>
      <xdr:row>6</xdr:row>
      <xdr:rowOff>76200</xdr:rowOff>
    </xdr:from>
    <xdr:to>
      <xdr:col>3</xdr:col>
      <xdr:colOff>247650</xdr:colOff>
      <xdr:row>7</xdr:row>
      <xdr:rowOff>114299</xdr:rowOff>
    </xdr:to>
    <xdr:graphicFrame macro="">
      <xdr:nvGraphicFramePr>
        <xdr:cNvPr id="78" name="Chart 77">
          <a:hlinkClick xmlns:r="http://schemas.openxmlformats.org/officeDocument/2006/relationships" r:id="rId3"/>
          <a:extLst>
            <a:ext uri="{FF2B5EF4-FFF2-40B4-BE49-F238E27FC236}">
              <a16:creationId xmlns:a16="http://schemas.microsoft.com/office/drawing/2014/main" id="{365829F8-0D14-AC2C-580B-B7A265A91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xdr:col>
      <xdr:colOff>273206</xdr:colOff>
      <xdr:row>10</xdr:row>
      <xdr:rowOff>141713</xdr:rowOff>
    </xdr:from>
    <xdr:to>
      <xdr:col>7</xdr:col>
      <xdr:colOff>268559</xdr:colOff>
      <xdr:row>16</xdr:row>
      <xdr:rowOff>2325</xdr:rowOff>
    </xdr:to>
    <xdr:sp macro="" textlink="">
      <xdr:nvSpPr>
        <xdr:cNvPr id="79" name="Rectangle: Rounded Corners 78">
          <a:extLst>
            <a:ext uri="{FF2B5EF4-FFF2-40B4-BE49-F238E27FC236}">
              <a16:creationId xmlns:a16="http://schemas.microsoft.com/office/drawing/2014/main" id="{682375FC-ECCD-4E43-A784-C6BCE2EE3952}"/>
            </a:ext>
          </a:extLst>
        </xdr:cNvPr>
        <xdr:cNvSpPr/>
      </xdr:nvSpPr>
      <xdr:spPr>
        <a:xfrm>
          <a:off x="882806" y="1951463"/>
          <a:ext cx="3652953" cy="946462"/>
        </a:xfrm>
        <a:prstGeom prst="roundRect">
          <a:avLst>
            <a:gd name="adj" fmla="val 42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300317</xdr:colOff>
      <xdr:row>5</xdr:row>
      <xdr:rowOff>121024</xdr:rowOff>
    </xdr:from>
    <xdr:to>
      <xdr:col>5</xdr:col>
      <xdr:colOff>255494</xdr:colOff>
      <xdr:row>7</xdr:row>
      <xdr:rowOff>129988</xdr:rowOff>
    </xdr:to>
    <xdr:graphicFrame macro="">
      <xdr:nvGraphicFramePr>
        <xdr:cNvPr id="82" name="Chart 81">
          <a:hlinkClick xmlns:r="http://schemas.openxmlformats.org/officeDocument/2006/relationships" r:id="rId11"/>
          <a:extLst>
            <a:ext uri="{FF2B5EF4-FFF2-40B4-BE49-F238E27FC236}">
              <a16:creationId xmlns:a16="http://schemas.microsoft.com/office/drawing/2014/main" id="{C2826145-51EE-4A87-842D-462A5B990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309282</xdr:colOff>
      <xdr:row>5</xdr:row>
      <xdr:rowOff>161365</xdr:rowOff>
    </xdr:from>
    <xdr:to>
      <xdr:col>7</xdr:col>
      <xdr:colOff>273424</xdr:colOff>
      <xdr:row>7</xdr:row>
      <xdr:rowOff>125505</xdr:rowOff>
    </xdr:to>
    <xdr:graphicFrame macro="">
      <xdr:nvGraphicFramePr>
        <xdr:cNvPr id="83" name="Chart 82">
          <a:hlinkClick xmlns:r="http://schemas.openxmlformats.org/officeDocument/2006/relationships" r:id="rId13"/>
          <a:extLst>
            <a:ext uri="{FF2B5EF4-FFF2-40B4-BE49-F238E27FC236}">
              <a16:creationId xmlns:a16="http://schemas.microsoft.com/office/drawing/2014/main" id="{60F4084B-51D7-47A2-A90D-82AB9342F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273424</xdr:colOff>
          <xdr:row>7</xdr:row>
          <xdr:rowOff>152983</xdr:rowOff>
        </xdr:from>
        <xdr:to>
          <xdr:col>7</xdr:col>
          <xdr:colOff>273424</xdr:colOff>
          <xdr:row>10</xdr:row>
          <xdr:rowOff>76782</xdr:rowOff>
        </xdr:to>
        <xdr:pic>
          <xdr:nvPicPr>
            <xdr:cNvPr id="85" name="Picture 84">
              <a:extLst>
                <a:ext uri="{FF2B5EF4-FFF2-40B4-BE49-F238E27FC236}">
                  <a16:creationId xmlns:a16="http://schemas.microsoft.com/office/drawing/2014/main" id="{0C288426-8451-4602-33A8-B3D74B0ADF90}"/>
                </a:ext>
              </a:extLst>
            </xdr:cNvPr>
            <xdr:cNvPicPr>
              <a:picLocks noChangeAspect="1" noChangeArrowheads="1"/>
              <a:extLst>
                <a:ext uri="{84589F7E-364E-4C9E-8A38-B11213B215E9}">
                  <a14:cameraTool cellRange="'Pivot Report'!$A$41:$D$43" spid="_x0000_s2070"/>
                </a:ext>
              </a:extLst>
            </xdr:cNvPicPr>
          </xdr:nvPicPr>
          <xdr:blipFill>
            <a:blip xmlns:r="http://schemas.openxmlformats.org/officeDocument/2006/relationships" r:embed="rId15"/>
            <a:srcRect/>
            <a:stretch>
              <a:fillRect/>
            </a:stretch>
          </xdr:blipFill>
          <xdr:spPr bwMode="auto">
            <a:xfrm>
              <a:off x="883024" y="1439418"/>
              <a:ext cx="3657600" cy="475129"/>
            </a:xfrm>
            <a:prstGeom prst="roundRect">
              <a:avLst>
                <a:gd name="adj" fmla="val 16667"/>
              </a:avLst>
            </a:prstGeom>
            <a:solidFill>
              <a:schemeClr val="bg1">
                <a:lumMod val="95000"/>
              </a:schemeClr>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twoCellAnchor>
    <xdr:from>
      <xdr:col>2</xdr:col>
      <xdr:colOff>14029</xdr:colOff>
      <xdr:row>10</xdr:row>
      <xdr:rowOff>121337</xdr:rowOff>
    </xdr:from>
    <xdr:to>
      <xdr:col>6</xdr:col>
      <xdr:colOff>533886</xdr:colOff>
      <xdr:row>15</xdr:row>
      <xdr:rowOff>58242</xdr:rowOff>
    </xdr:to>
    <xdr:graphicFrame macro="">
      <xdr:nvGraphicFramePr>
        <xdr:cNvPr id="86" name="Chart 85">
          <a:extLst>
            <a:ext uri="{FF2B5EF4-FFF2-40B4-BE49-F238E27FC236}">
              <a16:creationId xmlns:a16="http://schemas.microsoft.com/office/drawing/2014/main" id="{A57FEB82-92C0-4993-B488-D84556DAC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262090</xdr:colOff>
      <xdr:row>15</xdr:row>
      <xdr:rowOff>63095</xdr:rowOff>
    </xdr:from>
    <xdr:to>
      <xdr:col>5</xdr:col>
      <xdr:colOff>310625</xdr:colOff>
      <xdr:row>15</xdr:row>
      <xdr:rowOff>184432</xdr:rowOff>
    </xdr:to>
    <xdr:sp macro="" textlink="">
      <xdr:nvSpPr>
        <xdr:cNvPr id="87" name="TextBox 86">
          <a:extLst>
            <a:ext uri="{FF2B5EF4-FFF2-40B4-BE49-F238E27FC236}">
              <a16:creationId xmlns:a16="http://schemas.microsoft.com/office/drawing/2014/main" id="{17E80F89-D08C-8FAC-776D-0B620656C3B8}"/>
            </a:ext>
          </a:extLst>
        </xdr:cNvPr>
        <xdr:cNvSpPr txBox="1"/>
      </xdr:nvSpPr>
      <xdr:spPr>
        <a:xfrm>
          <a:off x="2096714" y="2829592"/>
          <a:ext cx="1271618" cy="12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No.</a:t>
          </a:r>
          <a:r>
            <a:rPr lang="en-IN" sz="600" baseline="0"/>
            <a:t>of Patient by Age group</a:t>
          </a:r>
          <a:endParaRPr lang="en-IN" sz="600"/>
        </a:p>
      </xdr:txBody>
    </xdr:sp>
    <xdr:clientData/>
  </xdr:twoCellAnchor>
  <xdr:twoCellAnchor>
    <xdr:from>
      <xdr:col>7</xdr:col>
      <xdr:colOff>286356</xdr:colOff>
      <xdr:row>0</xdr:row>
      <xdr:rowOff>116486</xdr:rowOff>
    </xdr:from>
    <xdr:to>
      <xdr:col>9</xdr:col>
      <xdr:colOff>310624</xdr:colOff>
      <xdr:row>6</xdr:row>
      <xdr:rowOff>38829</xdr:rowOff>
    </xdr:to>
    <xdr:graphicFrame macro="">
      <xdr:nvGraphicFramePr>
        <xdr:cNvPr id="88" name="Chart 87">
          <a:extLst>
            <a:ext uri="{FF2B5EF4-FFF2-40B4-BE49-F238E27FC236}">
              <a16:creationId xmlns:a16="http://schemas.microsoft.com/office/drawing/2014/main" id="{D7BCB416-D022-4437-B910-0142034A5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378573</xdr:colOff>
      <xdr:row>6</xdr:row>
      <xdr:rowOff>29121</xdr:rowOff>
    </xdr:from>
    <xdr:to>
      <xdr:col>9</xdr:col>
      <xdr:colOff>194140</xdr:colOff>
      <xdr:row>6</xdr:row>
      <xdr:rowOff>174726</xdr:rowOff>
    </xdr:to>
    <xdr:sp macro="" textlink="">
      <xdr:nvSpPr>
        <xdr:cNvPr id="91" name="TextBox 90">
          <a:extLst>
            <a:ext uri="{FF2B5EF4-FFF2-40B4-BE49-F238E27FC236}">
              <a16:creationId xmlns:a16="http://schemas.microsoft.com/office/drawing/2014/main" id="{75DE9C7D-F286-454D-9025-FF71BB51FF4A}"/>
            </a:ext>
          </a:extLst>
        </xdr:cNvPr>
        <xdr:cNvSpPr txBox="1"/>
      </xdr:nvSpPr>
      <xdr:spPr>
        <a:xfrm>
          <a:off x="4659363" y="1135720"/>
          <a:ext cx="1038650" cy="145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a:t>Patient Attend Status</a:t>
          </a:r>
        </a:p>
      </xdr:txBody>
    </xdr:sp>
    <xdr:clientData/>
  </xdr:twoCellAnchor>
  <xdr:twoCellAnchor>
    <xdr:from>
      <xdr:col>9</xdr:col>
      <xdr:colOff>291211</xdr:colOff>
      <xdr:row>0</xdr:row>
      <xdr:rowOff>32525</xdr:rowOff>
    </xdr:from>
    <xdr:to>
      <xdr:col>11</xdr:col>
      <xdr:colOff>242676</xdr:colOff>
      <xdr:row>6</xdr:row>
      <xdr:rowOff>179579</xdr:rowOff>
    </xdr:to>
    <xdr:graphicFrame macro="">
      <xdr:nvGraphicFramePr>
        <xdr:cNvPr id="92" name="Chart 91">
          <a:extLst>
            <a:ext uri="{FF2B5EF4-FFF2-40B4-BE49-F238E27FC236}">
              <a16:creationId xmlns:a16="http://schemas.microsoft.com/office/drawing/2014/main" id="{1CC4D402-FC50-48B3-999A-82F714889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368865</xdr:colOff>
      <xdr:row>6</xdr:row>
      <xdr:rowOff>19414</xdr:rowOff>
    </xdr:from>
    <xdr:to>
      <xdr:col>11</xdr:col>
      <xdr:colOff>184433</xdr:colOff>
      <xdr:row>6</xdr:row>
      <xdr:rowOff>165019</xdr:rowOff>
    </xdr:to>
    <xdr:sp macro="" textlink="">
      <xdr:nvSpPr>
        <xdr:cNvPr id="93" name="TextBox 92">
          <a:extLst>
            <a:ext uri="{FF2B5EF4-FFF2-40B4-BE49-F238E27FC236}">
              <a16:creationId xmlns:a16="http://schemas.microsoft.com/office/drawing/2014/main" id="{B8095BD6-0CB8-5DE5-8E04-841CF887E64C}"/>
            </a:ext>
          </a:extLst>
        </xdr:cNvPr>
        <xdr:cNvSpPr txBox="1"/>
      </xdr:nvSpPr>
      <xdr:spPr>
        <a:xfrm>
          <a:off x="5872738" y="1126013"/>
          <a:ext cx="1038650" cy="145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a:t>Gender wise Analysis</a:t>
          </a:r>
        </a:p>
      </xdr:txBody>
    </xdr:sp>
    <xdr:clientData/>
  </xdr:twoCellAnchor>
  <xdr:twoCellAnchor>
    <xdr:from>
      <xdr:col>7</xdr:col>
      <xdr:colOff>281917</xdr:colOff>
      <xdr:row>7</xdr:row>
      <xdr:rowOff>14592</xdr:rowOff>
    </xdr:from>
    <xdr:to>
      <xdr:col>11</xdr:col>
      <xdr:colOff>262328</xdr:colOff>
      <xdr:row>15</xdr:row>
      <xdr:rowOff>149903</xdr:rowOff>
    </xdr:to>
    <xdr:graphicFrame macro="">
      <xdr:nvGraphicFramePr>
        <xdr:cNvPr id="94" name="Chart 93">
          <a:extLst>
            <a:ext uri="{FF2B5EF4-FFF2-40B4-BE49-F238E27FC236}">
              <a16:creationId xmlns:a16="http://schemas.microsoft.com/office/drawing/2014/main" id="{5D2D7B84-A013-4F3E-8C49-F47C861D4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100291</xdr:colOff>
      <xdr:row>15</xdr:row>
      <xdr:rowOff>24984</xdr:rowOff>
    </xdr:from>
    <xdr:to>
      <xdr:col>10</xdr:col>
      <xdr:colOff>318541</xdr:colOff>
      <xdr:row>16</xdr:row>
      <xdr:rowOff>6245</xdr:rowOff>
    </xdr:to>
    <xdr:sp macro="" textlink="">
      <xdr:nvSpPr>
        <xdr:cNvPr id="95" name="TextBox 94">
          <a:extLst>
            <a:ext uri="{FF2B5EF4-FFF2-40B4-BE49-F238E27FC236}">
              <a16:creationId xmlns:a16="http://schemas.microsoft.com/office/drawing/2014/main" id="{D728FAD3-C7EF-73ED-EDD1-4D44FAE7A0A0}"/>
            </a:ext>
          </a:extLst>
        </xdr:cNvPr>
        <xdr:cNvSpPr txBox="1"/>
      </xdr:nvSpPr>
      <xdr:spPr>
        <a:xfrm>
          <a:off x="4997078" y="2741951"/>
          <a:ext cx="1442447" cy="162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00"/>
            <a:t>No.of</a:t>
          </a:r>
          <a:r>
            <a:rPr lang="en-IN" sz="600" baseline="0"/>
            <a:t> Patient by Department Referal</a:t>
          </a:r>
          <a:endParaRPr lang="en-IN" sz="600"/>
        </a:p>
      </xdr:txBody>
    </xdr:sp>
    <xdr:clientData/>
  </xdr:twoCellAnchor>
  <xdr:twoCellAnchor editAs="oneCell">
    <xdr:from>
      <xdr:col>5</xdr:col>
      <xdr:colOff>306049</xdr:colOff>
      <xdr:row>0</xdr:row>
      <xdr:rowOff>32525</xdr:rowOff>
    </xdr:from>
    <xdr:to>
      <xdr:col>7</xdr:col>
      <xdr:colOff>218606</xdr:colOff>
      <xdr:row>2</xdr:row>
      <xdr:rowOff>143656</xdr:rowOff>
    </xdr:to>
    <mc:AlternateContent xmlns:mc="http://schemas.openxmlformats.org/markup-compatibility/2006" xmlns:a14="http://schemas.microsoft.com/office/drawing/2010/main">
      <mc:Choice Requires="a14">
        <xdr:graphicFrame macro="">
          <xdr:nvGraphicFramePr>
            <xdr:cNvPr id="96" name="Date (Year)">
              <a:extLst>
                <a:ext uri="{FF2B5EF4-FFF2-40B4-BE49-F238E27FC236}">
                  <a16:creationId xmlns:a16="http://schemas.microsoft.com/office/drawing/2014/main" id="{3E22E01E-25C1-4AC4-8BFE-78624824A89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54049" y="32525"/>
              <a:ext cx="1131757" cy="47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601980</xdr:colOff>
      <xdr:row>14</xdr:row>
      <xdr:rowOff>7620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69D1F45F-4809-4F53-905F-92A5C48E0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0</xdr:col>
      <xdr:colOff>579120</xdr:colOff>
      <xdr:row>3</xdr:row>
      <xdr:rowOff>30480</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8BB8B209-E398-7FBA-2608-DB317C894C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79120" cy="579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591552</xdr:colOff>
      <xdr:row>25</xdr:row>
      <xdr:rowOff>175260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E768CD27-680B-431D-B4CA-D50F59EA8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10026</xdr:colOff>
      <xdr:row>0</xdr:row>
      <xdr:rowOff>0</xdr:rowOff>
    </xdr:from>
    <xdr:to>
      <xdr:col>0</xdr:col>
      <xdr:colOff>599283</xdr:colOff>
      <xdr:row>3</xdr:row>
      <xdr:rowOff>40104</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1F3F1354-53B0-27F1-F175-A8108D23D9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26" y="0"/>
          <a:ext cx="589257" cy="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601579</xdr:colOff>
      <xdr:row>26</xdr:row>
      <xdr:rowOff>0</xdr:rowOff>
    </xdr:to>
    <xdr:graphicFrame macro="">
      <xdr:nvGraphicFramePr>
        <xdr:cNvPr id="4" name="Chart 3">
          <a:extLst>
            <a:ext uri="{FF2B5EF4-FFF2-40B4-BE49-F238E27FC236}">
              <a16:creationId xmlns:a16="http://schemas.microsoft.com/office/drawing/2014/main" id="{E99CF7D2-AF4C-49D0-8039-CA58DEFCD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601578</xdr:colOff>
      <xdr:row>28</xdr:row>
      <xdr:rowOff>10026</xdr:rowOff>
    </xdr:from>
    <xdr:to>
      <xdr:col>4</xdr:col>
      <xdr:colOff>579230</xdr:colOff>
      <xdr:row>31</xdr:row>
      <xdr:rowOff>50130</xdr:rowOff>
    </xdr:to>
    <xdr:pic>
      <xdr:nvPicPr>
        <xdr:cNvPr id="3" name="Graphic 2" descr="Home with solid fill">
          <a:extLst>
            <a:ext uri="{FF2B5EF4-FFF2-40B4-BE49-F238E27FC236}">
              <a16:creationId xmlns:a16="http://schemas.microsoft.com/office/drawing/2014/main" id="{AECC91FD-9F17-4EDB-A201-0D3F887242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36394" y="5063289"/>
          <a:ext cx="589257" cy="581525"/>
        </a:xfrm>
        <a:prstGeom prst="rect">
          <a:avLst/>
        </a:prstGeom>
      </xdr:spPr>
    </xdr:pic>
    <xdr:clientData/>
  </xdr:twoCellAnchor>
  <xdr:twoCellAnchor editAs="oneCell">
    <xdr:from>
      <xdr:col>0</xdr:col>
      <xdr:colOff>0</xdr:colOff>
      <xdr:row>0</xdr:row>
      <xdr:rowOff>0</xdr:rowOff>
    </xdr:from>
    <xdr:to>
      <xdr:col>0</xdr:col>
      <xdr:colOff>581526</xdr:colOff>
      <xdr:row>3</xdr:row>
      <xdr:rowOff>40105</xdr:rowOff>
    </xdr:to>
    <xdr:pic>
      <xdr:nvPicPr>
        <xdr:cNvPr id="6" name="Graphic 5" descr="Home with solid fill">
          <a:hlinkClick xmlns:r="http://schemas.openxmlformats.org/officeDocument/2006/relationships" r:id="rId4"/>
          <a:extLst>
            <a:ext uri="{FF2B5EF4-FFF2-40B4-BE49-F238E27FC236}">
              <a16:creationId xmlns:a16="http://schemas.microsoft.com/office/drawing/2014/main" id="{FD595BC8-63A0-102E-0A4B-3824E95A33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581526" cy="58152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712963" backgroundQuery="1" createdVersion="8" refreshedVersion="8" minRefreshableVersion="3" recordCount="0" supportSubquery="1" supportAdvancedDrill="1" xr:uid="{22E26390-77DB-4973-9C95-DCE2FC88799E}">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7361114" backgroundQuery="1" createdVersion="8" refreshedVersion="8" minRefreshableVersion="3" recordCount="0" supportSubquery="1" supportAdvancedDrill="1" xr:uid="{0528C854-C72D-4FD9-8756-B468716DDF90}">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7476853" backgroundQuery="1" createdVersion="8" refreshedVersion="8" minRefreshableVersion="3" recordCount="0" supportSubquery="1" supportAdvancedDrill="1" xr:uid="{1F2775DE-38F3-4935-B474-30717B783DE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770833" backgroundQuery="1" createdVersion="8" refreshedVersion="8" minRefreshableVersion="3" recordCount="0" supportSubquery="1" supportAdvancedDrill="1" xr:uid="{39B80846-0C78-4CB7-9CDF-CD3F4788561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8171299" backgroundQuery="1" createdVersion="8" refreshedVersion="8" minRefreshableVersion="3" recordCount="0" supportSubquery="1" supportAdvancedDrill="1" xr:uid="{EFEE10AE-82D6-424C-8547-DE82BEA9059B}">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8634261" backgroundQuery="1" createdVersion="8" refreshedVersion="8" minRefreshableVersion="3" recordCount="0" supportSubquery="1" supportAdvancedDrill="1" xr:uid="{2AEBBAC4-0407-4990-8817-D8692C8A1D7A}">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9212962" backgroundQuery="1" createdVersion="8" refreshedVersion="8" minRefreshableVersion="3" recordCount="0" supportSubquery="1" supportAdvancedDrill="1" xr:uid="{64E38194-B1B7-4D02-BFC9-FB7DB2044B2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19675924" backgroundQuery="1" createdVersion="8" refreshedVersion="8" minRefreshableVersion="3" recordCount="0" supportSubquery="1" supportAdvancedDrill="1" xr:uid="{07451070-3159-442D-BA22-CD9AF9261EA2}">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20254632" backgroundQuery="1" createdVersion="8" refreshedVersion="8" minRefreshableVersion="3" recordCount="0" supportSubquery="1" supportAdvancedDrill="1" xr:uid="{34EF3696-B95B-4600-B41B-DE9D82AA3EC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end Status].[Patient atend Status]" caption="Patient atend Status" numFmtId="0" hierarchy="17" level="1">
      <sharedItems count="2">
        <s v="Delay"/>
        <s v="Ontime"/>
      </sharedItems>
    </cacheField>
    <cacheField name="[Measures].[Count of Patient atend Status]" caption="Count of Patient atend Status" numFmtId="0" hierarchy="33"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20833332" backgroundQuery="1" createdVersion="8" refreshedVersion="8" minRefreshableVersion="3" recordCount="0" supportSubquery="1" supportAdvancedDrill="1" xr:uid="{37988E22-0E86-450C-A35B-FAB4657DDB8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2141204" backgroundQuery="1" createdVersion="8" refreshedVersion="8" minRefreshableVersion="3" recordCount="0" supportSubquery="1" supportAdvancedDrill="1" xr:uid="{04DA09EC-C7E3-49F1-9B83-B7B6D979B9F4}">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10221990741" backgroundQuery="1" createdVersion="8" refreshedVersion="8" minRefreshableVersion="3" recordCount="0" supportSubquery="1" supportAdvancedDrill="1" xr:uid="{4ABDBA36-BE63-4661-95C9-B666949BC636}">
  <cacheSource type="external" connectionId="3"/>
  <cacheFields count="4">
    <cacheField name="[Calendar_Table].[Date (Month)].[Date (Month)]" caption="Date (Month)" numFmtId="0" hierarchy="1" level="1">
      <sharedItems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l" refreshedDate="46093.606983680555" backgroundQuery="1" createdVersion="3" refreshedVersion="8" minRefreshableVersion="3" recordCount="0" supportSubquery="1" supportAdvancedDrill="1" xr:uid="{3355B570-F9B2-4A6D-8200-6EA4F896EDFD}">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d Status]" caption="Patient atend Status" attribute="1" defaultMemberUniqueName="[Hospital Emergency Room Data].[Patient atend Status].[All]" allUniqueName="[Hospital Emergency Room Data].[Patient a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end Status]" caption="Count of Patient a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720425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00B4F-184E-4C1D-BA06-0B8506D12A63}" name="PivotTable4" cacheId="0" applyNumberFormats="0" applyBorderFormats="0" applyFontFormats="0" applyPatternFormats="0" applyAlignmentFormats="0" applyWidthHeightFormats="1" dataCaption="Values" tag="ddbdca4e-ea9d-4a72-9c0e-78a200d33446" updatedVersion="8" minRefreshableVersion="3" subtotalHiddenItems="1" itemPrintTitles="1" createdVersion="8" indent="0" outline="1" outlineData="1" multipleFieldFilters="0" chartFormat="10">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F2267-80E4-4771-AFE8-7544314B3B76}" name="PivotTable9" cacheId="8" applyNumberFormats="0" applyBorderFormats="0" applyFontFormats="0" applyPatternFormats="0" applyAlignmentFormats="0" applyWidthHeightFormats="1" dataCaption="Values" tag="ab33228c-4b62-4ce0-8bdf-0edee2a24e33" updatedVersion="8" minRefreshableVersion="3" subtotalHiddenItems="1" itemPrintTitles="1" createdVersion="8" indent="0" outline="1" outlineData="1" multipleFieldFilters="0" chartFormat="11">
  <location ref="A58: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end Status" fld="2" subtotal="count" baseField="0" baseItem="0"/>
  </dataFields>
  <formats count="1">
    <format dxfId="0">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A0FED1-EF79-4B6D-8EA8-2573E76E3C33}" name="PivotTable3" cacheId="3" applyNumberFormats="0" applyBorderFormats="0" applyFontFormats="0" applyPatternFormats="0" applyAlignmentFormats="0" applyWidthHeightFormats="1" dataCaption="Values" tag="fe57d9f6-e2b6-4434-95a2-2f1d0da7eb75"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F7DE3-B2DB-4913-A307-4FE039F23BC0}" name="PivotTable8" cacheId="7" applyNumberFormats="0" applyBorderFormats="0" applyFontFormats="0" applyPatternFormats="0" applyAlignmentFormats="0" applyWidthHeightFormats="1" dataCaption="Values" tag="8157129e-eeda-496a-bcbf-546c0c9c50cc" updatedVersion="8" minRefreshableVersion="3" subtotalHiddenItems="1" itemPrintTitles="1" createdVersion="8" indent="0" outline="1" outlineData="1" multipleFieldFilters="0" chartFormat="5">
  <location ref="A46: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BA842B-CB71-4F0C-981B-B43538D878D5}" name="PivotTable2" cacheId="2" applyNumberFormats="0" applyBorderFormats="0" applyFontFormats="0" applyPatternFormats="0" applyAlignmentFormats="0" applyWidthHeightFormats="1" dataCaption="Values" tag="afce2d7a-adf8-4b52-8abd-cbf715e1bb69"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109320-E48F-4023-A1BE-5FCDE03F8A6C}" name="PivotTable7" cacheId="6" applyNumberFormats="0" applyBorderFormats="0" applyFontFormats="0" applyPatternFormats="0" applyAlignmentFormats="0" applyWidthHeightFormats="1" dataCaption="Values" tag="781341d7-c111-4068-9905-b2ab0e1fc20e" updatedVersion="8" minRefreshableVersion="3" subtotalHiddenItems="1" itemPrintTitles="1" createdVersion="8" indent="0" outline="1" outlineData="1" multipleFieldFilters="0" chartFormat="2">
  <location ref="A35:C3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6">
      <pivotArea outline="0" collapsedLevelsAreSubtotals="1" fieldPosition="0"/>
    </format>
    <format dxfId="5">
      <pivotArea collapsedLevelsAreSubtotals="1" fieldPosition="0">
        <references count="1">
          <reference field="2" count="0"/>
        </references>
      </pivotArea>
    </format>
    <format dxfId="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B1A267-E846-49E2-B921-F745FAF95D13}" name="PivotTable12" cacheId="11" applyNumberFormats="0" applyBorderFormats="0" applyFontFormats="0" applyPatternFormats="0" applyAlignmentFormats="0" applyWidthHeightFormats="1" dataCaption="Values" tag="3e2fc85f-59a6-485b-81ca-b842653819b5" updatedVersion="8" minRefreshableVersion="3" subtotalHiddenItems="1" itemPrintTitles="1" createdVersion="8" indent="0" outline="1" outlineData="1" multipleFieldFilters="0" chartFormat="14">
  <location ref="A82:A8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
      <pivotArea outline="0" collapsedLevelsAreSubtotals="1" fieldPosition="0"/>
    </format>
  </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7664B5-9FE0-4228-8213-D5406F7A5521}" name="PivotTable11" cacheId="10" applyNumberFormats="0" applyBorderFormats="0" applyFontFormats="0" applyPatternFormats="0" applyAlignmentFormats="0" applyWidthHeightFormats="1" dataCaption="Values" tag="7f82fb54-d669-4404-b7c4-bf6aefe88ee6" updatedVersion="8" minRefreshableVersion="3" subtotalHiddenItems="1" itemPrintTitles="1" createdVersion="8" indent="0" outline="1" outlineData="1" multipleFieldFilters="0" chartFormat="14">
  <location ref="A70:B7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8">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ABBF0-7F55-4D62-887F-A6C2C7710822}" name="PivotTable1" cacheId="1" applyNumberFormats="0" applyBorderFormats="0" applyFontFormats="0" applyPatternFormats="0" applyAlignmentFormats="0" applyWidthHeightFormats="1" dataCaption="Values" tag="f41bb088-5651-4a52-8bf3-af2ab3b4d6d7"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BD4931-7AC7-4BAA-8622-018953F5DAC7}" name="PivotTable6" cacheId="5" applyNumberFormats="0" applyBorderFormats="0" applyFontFormats="0" applyPatternFormats="0" applyAlignmentFormats="0" applyWidthHeightFormats="1" dataCaption="Values" tag="7b5616f5-4b51-4050-b05f-635b61ef3199" updatedVersion="8" minRefreshableVersion="3" subtotalHiddenItems="1" itemPrintTitles="1" createdVersion="8" indent="0" outline="1" outlineData="1" multipleFieldFilters="0" chartFormat="25">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9">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B12007-4A32-46FC-A85F-D1ED42CCD7EA}" name="PivotTable10" cacheId="9" applyNumberFormats="0" applyBorderFormats="0" applyFontFormats="0" applyPatternFormats="0" applyAlignmentFormats="0" applyWidthHeightFormats="1" dataCaption="Values" tag="52dd1075-fc10-4753-9185-83a6ecd0f1d8" updatedVersion="8" minRefreshableVersion="3" subtotalHiddenItems="1" itemPrintTitles="1" createdVersion="8" indent="0" outline="1" outlineData="1" multipleFieldFilters="0" chartFormat="15">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n="grand Total"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225807-47E2-4F11-988F-86CCF93BA59F}" name="PivotTable5" cacheId="4" applyNumberFormats="0" applyBorderFormats="0" applyFontFormats="0" applyPatternFormats="0" applyAlignmentFormats="0" applyWidthHeightFormats="1" dataCaption="Values" tag="2e366f61-5010-4a60-827c-6c1207bfa3cc" updatedVersion="8" minRefreshableVersion="3" subtotalHiddenItems="1" itemPrintTitles="1" createdVersion="8" indent="0" outline="1" outlineData="1" multipleFieldFilters="0" chartFormat="20">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1">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B898572-7EFD-489B-9179-0EA296855807}"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7204253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4196598-2F9B-4597-A508-5F16A4E90B3C}"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7204253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AF38192-7E3B-4622-BF62-1E00E8ECD7D7}" cache="Slicer_Date__Month" caption="Date (Month)" showCaption="0" level="1" style="My Style" rowHeight="144000"/>
  <slicer name="Date (Year)" xr10:uid="{52B571E3-73CE-46E2-A9A0-330C2CCE3F2B}"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DFCD-BB85-4A9D-97E4-AC0269FE3E58}">
  <dimension ref="A3:K84"/>
  <sheetViews>
    <sheetView topLeftCell="A67" zoomScaleNormal="100" workbookViewId="0">
      <selection activeCell="A83" sqref="A83"/>
    </sheetView>
  </sheetViews>
  <sheetFormatPr defaultRowHeight="14.4" x14ac:dyDescent="0.3"/>
  <cols>
    <col min="1" max="1" width="14.6640625" customWidth="1"/>
    <col min="2" max="2" width="11.5546875" customWidth="1"/>
    <col min="3" max="3" width="7.77734375" customWidth="1"/>
    <col min="4" max="4" width="24.77734375" customWidth="1"/>
    <col min="5" max="5" width="23.88671875" bestFit="1" customWidth="1"/>
    <col min="7" max="7" width="12.5546875" bestFit="1" customWidth="1"/>
    <col min="8" max="8" width="23.88671875" bestFit="1" customWidth="1"/>
    <col min="10" max="10" width="12.5546875" bestFit="1" customWidth="1"/>
    <col min="11" max="11" width="25" bestFit="1" customWidth="1"/>
    <col min="16" max="16" width="23.88671875" bestFit="1" customWidth="1"/>
  </cols>
  <sheetData>
    <row r="3" spans="1:11" x14ac:dyDescent="0.3">
      <c r="A3" t="s">
        <v>1</v>
      </c>
      <c r="D3" t="s">
        <v>39</v>
      </c>
      <c r="G3" t="s">
        <v>40</v>
      </c>
      <c r="J3" t="s">
        <v>43</v>
      </c>
    </row>
    <row r="4" spans="1:11" x14ac:dyDescent="0.3">
      <c r="A4" t="s">
        <v>0</v>
      </c>
      <c r="D4" s="1" t="s">
        <v>4</v>
      </c>
      <c r="E4" t="s">
        <v>0</v>
      </c>
      <c r="G4" s="1" t="s">
        <v>4</v>
      </c>
      <c r="H4" t="s">
        <v>2</v>
      </c>
      <c r="J4" s="1" t="s">
        <v>4</v>
      </c>
      <c r="K4" t="s">
        <v>3</v>
      </c>
    </row>
    <row r="5" spans="1:11" x14ac:dyDescent="0.3">
      <c r="A5">
        <v>513</v>
      </c>
      <c r="D5" s="4" t="s">
        <v>7</v>
      </c>
      <c r="E5">
        <v>19</v>
      </c>
      <c r="G5" s="4" t="s">
        <v>7</v>
      </c>
      <c r="H5" s="2">
        <v>37.789473684210527</v>
      </c>
      <c r="J5" s="4" t="s">
        <v>7</v>
      </c>
      <c r="K5" s="2">
        <v>6.666666666666667</v>
      </c>
    </row>
    <row r="6" spans="1:11" x14ac:dyDescent="0.3">
      <c r="D6" s="4" t="s">
        <v>8</v>
      </c>
      <c r="E6">
        <v>14</v>
      </c>
      <c r="G6" s="4" t="s">
        <v>8</v>
      </c>
      <c r="H6" s="2">
        <v>38.214285714285715</v>
      </c>
      <c r="J6" s="4" t="s">
        <v>8</v>
      </c>
      <c r="K6" s="2">
        <v>3.5</v>
      </c>
    </row>
    <row r="7" spans="1:11" x14ac:dyDescent="0.3">
      <c r="D7" s="4" t="s">
        <v>9</v>
      </c>
      <c r="E7">
        <v>13</v>
      </c>
      <c r="G7" s="4" t="s">
        <v>9</v>
      </c>
      <c r="H7" s="2">
        <v>40.92307692307692</v>
      </c>
      <c r="J7" s="4" t="s">
        <v>9</v>
      </c>
      <c r="K7" s="2">
        <v>4.5</v>
      </c>
    </row>
    <row r="8" spans="1:11" x14ac:dyDescent="0.3">
      <c r="A8" t="s">
        <v>2</v>
      </c>
      <c r="D8" s="4" t="s">
        <v>10</v>
      </c>
      <c r="E8">
        <v>22</v>
      </c>
      <c r="G8" s="4" t="s">
        <v>10</v>
      </c>
      <c r="H8" s="2">
        <v>34.5</v>
      </c>
      <c r="J8" s="4" t="s">
        <v>10</v>
      </c>
      <c r="K8" s="2">
        <v>4.8</v>
      </c>
    </row>
    <row r="9" spans="1:11" x14ac:dyDescent="0.3">
      <c r="A9" s="2">
        <v>36.323586744639378</v>
      </c>
      <c r="D9" s="4" t="s">
        <v>11</v>
      </c>
      <c r="E9">
        <v>19</v>
      </c>
      <c r="G9" s="4" t="s">
        <v>11</v>
      </c>
      <c r="H9" s="2">
        <v>30.684210526315791</v>
      </c>
      <c r="J9" s="4" t="s">
        <v>11</v>
      </c>
      <c r="K9" s="2">
        <v>7.75</v>
      </c>
    </row>
    <row r="10" spans="1:11" x14ac:dyDescent="0.3">
      <c r="D10" s="4" t="s">
        <v>12</v>
      </c>
      <c r="E10">
        <v>15</v>
      </c>
      <c r="G10" s="4" t="s">
        <v>12</v>
      </c>
      <c r="H10" s="2">
        <v>37.666666666666664</v>
      </c>
      <c r="J10" s="4" t="s">
        <v>12</v>
      </c>
      <c r="K10" s="2">
        <v>6.2</v>
      </c>
    </row>
    <row r="11" spans="1:11" x14ac:dyDescent="0.3">
      <c r="A11" t="s">
        <v>3</v>
      </c>
      <c r="D11" s="4" t="s">
        <v>13</v>
      </c>
      <c r="E11">
        <v>12</v>
      </c>
      <c r="G11" s="4" t="s">
        <v>13</v>
      </c>
      <c r="H11" s="2">
        <v>36.083333333333336</v>
      </c>
      <c r="J11" s="4" t="s">
        <v>13</v>
      </c>
      <c r="K11" s="2">
        <v>3.75</v>
      </c>
    </row>
    <row r="12" spans="1:11" x14ac:dyDescent="0.3">
      <c r="A12" s="2">
        <v>4.9591836734693882</v>
      </c>
      <c r="D12" s="4" t="s">
        <v>14</v>
      </c>
      <c r="E12">
        <v>21</v>
      </c>
      <c r="G12" s="4" t="s">
        <v>14</v>
      </c>
      <c r="H12" s="2">
        <v>43.523809523809526</v>
      </c>
      <c r="J12" s="4" t="s">
        <v>14</v>
      </c>
      <c r="K12" s="2">
        <v>6.5</v>
      </c>
    </row>
    <row r="13" spans="1:11" x14ac:dyDescent="0.3">
      <c r="D13" s="4" t="s">
        <v>15</v>
      </c>
      <c r="E13">
        <v>12</v>
      </c>
      <c r="G13" s="4" t="s">
        <v>15</v>
      </c>
      <c r="H13" s="2">
        <v>29.5</v>
      </c>
      <c r="J13" s="4" t="s">
        <v>15</v>
      </c>
      <c r="K13" s="2">
        <v>3</v>
      </c>
    </row>
    <row r="14" spans="1:11" x14ac:dyDescent="0.3">
      <c r="D14" s="4" t="s">
        <v>16</v>
      </c>
      <c r="E14">
        <v>13</v>
      </c>
      <c r="G14" s="4" t="s">
        <v>16</v>
      </c>
      <c r="H14" s="2">
        <v>38.07692307692308</v>
      </c>
      <c r="J14" s="4" t="s">
        <v>16</v>
      </c>
      <c r="K14" s="2">
        <v>4.5</v>
      </c>
    </row>
    <row r="15" spans="1:11" x14ac:dyDescent="0.3">
      <c r="D15" s="4" t="s">
        <v>17</v>
      </c>
      <c r="E15">
        <v>13</v>
      </c>
      <c r="G15" s="4" t="s">
        <v>17</v>
      </c>
      <c r="H15" s="2">
        <v>35.846153846153847</v>
      </c>
      <c r="J15" s="4" t="s">
        <v>17</v>
      </c>
      <c r="K15" s="2">
        <v>6</v>
      </c>
    </row>
    <row r="16" spans="1:11" x14ac:dyDescent="0.3">
      <c r="D16" s="4" t="s">
        <v>18</v>
      </c>
      <c r="E16">
        <v>16</v>
      </c>
      <c r="G16" s="4" t="s">
        <v>18</v>
      </c>
      <c r="H16" s="2">
        <v>32.625</v>
      </c>
      <c r="J16" s="4" t="s">
        <v>18</v>
      </c>
      <c r="K16" s="2">
        <v>5.2</v>
      </c>
    </row>
    <row r="17" spans="4:11" x14ac:dyDescent="0.3">
      <c r="D17" s="4" t="s">
        <v>19</v>
      </c>
      <c r="E17">
        <v>20</v>
      </c>
      <c r="G17" s="4" t="s">
        <v>19</v>
      </c>
      <c r="H17" s="2">
        <v>39.200000000000003</v>
      </c>
      <c r="J17" s="4" t="s">
        <v>19</v>
      </c>
      <c r="K17" s="2">
        <v>4.4000000000000004</v>
      </c>
    </row>
    <row r="18" spans="4:11" x14ac:dyDescent="0.3">
      <c r="D18" s="4" t="s">
        <v>20</v>
      </c>
      <c r="E18">
        <v>25</v>
      </c>
      <c r="G18" s="4" t="s">
        <v>20</v>
      </c>
      <c r="H18" s="2">
        <v>35.28</v>
      </c>
      <c r="J18" s="4" t="s">
        <v>20</v>
      </c>
      <c r="K18" s="2">
        <v>3.4545454545454546</v>
      </c>
    </row>
    <row r="19" spans="4:11" x14ac:dyDescent="0.3">
      <c r="D19" s="4" t="s">
        <v>21</v>
      </c>
      <c r="E19">
        <v>20</v>
      </c>
      <c r="G19" s="4" t="s">
        <v>21</v>
      </c>
      <c r="H19" s="2">
        <v>32.549999999999997</v>
      </c>
      <c r="J19" s="4" t="s">
        <v>21</v>
      </c>
      <c r="K19" s="2">
        <v>4.4000000000000004</v>
      </c>
    </row>
    <row r="20" spans="4:11" x14ac:dyDescent="0.3">
      <c r="D20" s="4" t="s">
        <v>22</v>
      </c>
      <c r="E20">
        <v>14</v>
      </c>
      <c r="G20" s="4" t="s">
        <v>22</v>
      </c>
      <c r="H20" s="2">
        <v>35.642857142857146</v>
      </c>
      <c r="J20" s="4" t="s">
        <v>22</v>
      </c>
      <c r="K20" s="2">
        <v>5.833333333333333</v>
      </c>
    </row>
    <row r="21" spans="4:11" x14ac:dyDescent="0.3">
      <c r="D21" s="4" t="s">
        <v>23</v>
      </c>
      <c r="E21">
        <v>17</v>
      </c>
      <c r="G21" s="4" t="s">
        <v>23</v>
      </c>
      <c r="H21" s="2">
        <v>38.764705882352942</v>
      </c>
      <c r="J21" s="4" t="s">
        <v>23</v>
      </c>
      <c r="K21" s="2">
        <v>4.4444444444444446</v>
      </c>
    </row>
    <row r="22" spans="4:11" x14ac:dyDescent="0.3">
      <c r="D22" s="4" t="s">
        <v>24</v>
      </c>
      <c r="E22">
        <v>20</v>
      </c>
      <c r="G22" s="4" t="s">
        <v>24</v>
      </c>
      <c r="H22" s="2">
        <v>39.9</v>
      </c>
      <c r="J22" s="4" t="s">
        <v>24</v>
      </c>
      <c r="K22" s="2">
        <v>5.333333333333333</v>
      </c>
    </row>
    <row r="23" spans="4:11" x14ac:dyDescent="0.3">
      <c r="D23" s="4" t="s">
        <v>25</v>
      </c>
      <c r="E23">
        <v>10</v>
      </c>
      <c r="G23" s="4" t="s">
        <v>25</v>
      </c>
      <c r="H23" s="2">
        <v>41.6</v>
      </c>
      <c r="J23" s="4" t="s">
        <v>25</v>
      </c>
      <c r="K23" s="2">
        <v>5.333333333333333</v>
      </c>
    </row>
    <row r="24" spans="4:11" x14ac:dyDescent="0.3">
      <c r="D24" s="4" t="s">
        <v>26</v>
      </c>
      <c r="E24">
        <v>17</v>
      </c>
      <c r="G24" s="4" t="s">
        <v>26</v>
      </c>
      <c r="H24" s="2">
        <v>39.470588235294116</v>
      </c>
      <c r="J24" s="4" t="s">
        <v>26</v>
      </c>
      <c r="K24" s="2">
        <v>5.5714285714285712</v>
      </c>
    </row>
    <row r="25" spans="4:11" x14ac:dyDescent="0.3">
      <c r="D25" s="4" t="s">
        <v>27</v>
      </c>
      <c r="E25">
        <v>15</v>
      </c>
      <c r="G25" s="4" t="s">
        <v>27</v>
      </c>
      <c r="H25" s="2">
        <v>27.733333333333334</v>
      </c>
      <c r="J25" s="4" t="s">
        <v>27</v>
      </c>
      <c r="K25" s="2">
        <v>5</v>
      </c>
    </row>
    <row r="26" spans="4:11" x14ac:dyDescent="0.3">
      <c r="D26" s="4" t="s">
        <v>28</v>
      </c>
      <c r="E26">
        <v>16</v>
      </c>
      <c r="G26" s="4" t="s">
        <v>28</v>
      </c>
      <c r="H26" s="2">
        <v>36.875</v>
      </c>
      <c r="J26" s="4" t="s">
        <v>28</v>
      </c>
      <c r="K26" s="2">
        <v>6.4</v>
      </c>
    </row>
    <row r="27" spans="4:11" x14ac:dyDescent="0.3">
      <c r="D27" s="4" t="s">
        <v>29</v>
      </c>
      <c r="E27">
        <v>18</v>
      </c>
      <c r="G27" s="4" t="s">
        <v>29</v>
      </c>
      <c r="H27" s="2">
        <v>40.333333333333336</v>
      </c>
      <c r="J27" s="4" t="s">
        <v>29</v>
      </c>
      <c r="K27" s="2">
        <v>5.333333333333333</v>
      </c>
    </row>
    <row r="28" spans="4:11" x14ac:dyDescent="0.3">
      <c r="D28" s="4" t="s">
        <v>30</v>
      </c>
      <c r="E28">
        <v>16</v>
      </c>
      <c r="G28" s="4" t="s">
        <v>30</v>
      </c>
      <c r="H28" s="2">
        <v>36.5</v>
      </c>
      <c r="J28" s="4" t="s">
        <v>30</v>
      </c>
      <c r="K28" s="2">
        <v>3.75</v>
      </c>
    </row>
    <row r="29" spans="4:11" x14ac:dyDescent="0.3">
      <c r="D29" s="4" t="s">
        <v>31</v>
      </c>
      <c r="E29">
        <v>15</v>
      </c>
      <c r="G29" s="4" t="s">
        <v>31</v>
      </c>
      <c r="H29" s="2">
        <v>32.866666666666667</v>
      </c>
      <c r="J29" s="4" t="s">
        <v>31</v>
      </c>
      <c r="K29" s="2">
        <v>6.333333333333333</v>
      </c>
    </row>
    <row r="30" spans="4:11" x14ac:dyDescent="0.3">
      <c r="D30" s="4" t="s">
        <v>32</v>
      </c>
      <c r="E30">
        <v>14</v>
      </c>
      <c r="G30" s="4" t="s">
        <v>32</v>
      </c>
      <c r="H30" s="2">
        <v>36.642857142857146</v>
      </c>
      <c r="J30" s="4" t="s">
        <v>32</v>
      </c>
      <c r="K30" s="2">
        <v>10</v>
      </c>
    </row>
    <row r="31" spans="4:11" x14ac:dyDescent="0.3">
      <c r="D31" s="4" t="s">
        <v>33</v>
      </c>
      <c r="E31">
        <v>16</v>
      </c>
      <c r="G31" s="4" t="s">
        <v>33</v>
      </c>
      <c r="H31" s="2">
        <v>36.5625</v>
      </c>
      <c r="J31" s="4" t="s">
        <v>33</v>
      </c>
      <c r="K31" s="2">
        <v>5</v>
      </c>
    </row>
    <row r="32" spans="4:11" x14ac:dyDescent="0.3">
      <c r="D32" s="4" t="s">
        <v>34</v>
      </c>
      <c r="E32">
        <v>20</v>
      </c>
      <c r="G32" s="4" t="s">
        <v>34</v>
      </c>
      <c r="H32" s="2">
        <v>32.15</v>
      </c>
      <c r="J32" s="4" t="s">
        <v>34</v>
      </c>
      <c r="K32" s="2">
        <v>5.333333333333333</v>
      </c>
    </row>
    <row r="33" spans="1:11" x14ac:dyDescent="0.3">
      <c r="D33" s="4" t="s">
        <v>35</v>
      </c>
      <c r="E33">
        <v>19</v>
      </c>
      <c r="G33" s="4" t="s">
        <v>35</v>
      </c>
      <c r="H33" s="2">
        <v>38.368421052631582</v>
      </c>
      <c r="J33" s="4" t="s">
        <v>35</v>
      </c>
      <c r="K33" s="2">
        <v>4.8</v>
      </c>
    </row>
    <row r="34" spans="1:11" x14ac:dyDescent="0.3">
      <c r="D34" s="4" t="s">
        <v>36</v>
      </c>
      <c r="E34">
        <v>14</v>
      </c>
      <c r="G34" s="4" t="s">
        <v>36</v>
      </c>
      <c r="H34" s="2">
        <v>33.071428571428569</v>
      </c>
      <c r="J34" s="4" t="s">
        <v>36</v>
      </c>
      <c r="K34" s="2">
        <v>5</v>
      </c>
    </row>
    <row r="35" spans="1:11" x14ac:dyDescent="0.3">
      <c r="A35" s="1" t="s">
        <v>4</v>
      </c>
      <c r="B35" t="s">
        <v>44</v>
      </c>
      <c r="C35" t="s">
        <v>47</v>
      </c>
      <c r="D35" s="4" t="s">
        <v>37</v>
      </c>
      <c r="E35">
        <v>18</v>
      </c>
      <c r="G35" s="4" t="s">
        <v>37</v>
      </c>
      <c r="H35" s="2">
        <v>36.444444444444443</v>
      </c>
      <c r="J35" s="4" t="s">
        <v>37</v>
      </c>
      <c r="K35" s="2">
        <v>1.4</v>
      </c>
    </row>
    <row r="36" spans="1:11" x14ac:dyDescent="0.3">
      <c r="A36" s="4" t="s">
        <v>45</v>
      </c>
      <c r="B36" s="6">
        <v>269</v>
      </c>
      <c r="C36" s="7">
        <v>0.52436647173489281</v>
      </c>
      <c r="D36" s="4" t="s">
        <v>5</v>
      </c>
      <c r="E36">
        <v>513</v>
      </c>
      <c r="G36" s="4" t="s">
        <v>5</v>
      </c>
      <c r="H36" s="2">
        <v>36.323586744639378</v>
      </c>
      <c r="J36" s="4" t="s">
        <v>5</v>
      </c>
      <c r="K36" s="2">
        <v>4.9591836734693882</v>
      </c>
    </row>
    <row r="37" spans="1:11" x14ac:dyDescent="0.3">
      <c r="A37" s="4" t="s">
        <v>46</v>
      </c>
      <c r="B37" s="6">
        <v>244</v>
      </c>
      <c r="C37" s="7">
        <v>0.47563352826510719</v>
      </c>
    </row>
    <row r="38" spans="1:11" x14ac:dyDescent="0.3">
      <c r="A38" s="4" t="s">
        <v>5</v>
      </c>
      <c r="B38" s="2">
        <v>513</v>
      </c>
      <c r="C38" s="7">
        <v>1</v>
      </c>
    </row>
    <row r="41" spans="1:11" x14ac:dyDescent="0.3">
      <c r="A41" s="9" t="s">
        <v>48</v>
      </c>
      <c r="B41" s="9" t="s">
        <v>50</v>
      </c>
      <c r="C41" s="9" t="s">
        <v>49</v>
      </c>
      <c r="D41" s="8"/>
    </row>
    <row r="42" spans="1:11" x14ac:dyDescent="0.3">
      <c r="A42" s="5" t="str">
        <f>A37</f>
        <v>Not Admitted</v>
      </c>
      <c r="B42" s="5">
        <f>B37</f>
        <v>244</v>
      </c>
      <c r="C42" s="10">
        <f>C37</f>
        <v>0.47563352826510719</v>
      </c>
    </row>
    <row r="43" spans="1:11" x14ac:dyDescent="0.3">
      <c r="A43" s="5" t="str">
        <f>A36</f>
        <v>Admitted</v>
      </c>
      <c r="B43" s="5">
        <f>B36</f>
        <v>269</v>
      </c>
      <c r="C43" s="10">
        <f>C36</f>
        <v>0.52436647173489281</v>
      </c>
    </row>
    <row r="45" spans="1:11" x14ac:dyDescent="0.3">
      <c r="A45" t="s">
        <v>60</v>
      </c>
    </row>
    <row r="46" spans="1:11" x14ac:dyDescent="0.3">
      <c r="A46" s="1" t="s">
        <v>4</v>
      </c>
      <c r="B46" t="s">
        <v>59</v>
      </c>
    </row>
    <row r="47" spans="1:11" x14ac:dyDescent="0.3">
      <c r="A47" s="4" t="s">
        <v>51</v>
      </c>
      <c r="B47" s="6">
        <v>76</v>
      </c>
    </row>
    <row r="48" spans="1:11" x14ac:dyDescent="0.3">
      <c r="A48" s="4" t="s">
        <v>52</v>
      </c>
      <c r="B48" s="6">
        <v>69</v>
      </c>
    </row>
    <row r="49" spans="1:2" x14ac:dyDescent="0.3">
      <c r="A49" s="4" t="s">
        <v>53</v>
      </c>
      <c r="B49" s="6">
        <v>64</v>
      </c>
    </row>
    <row r="50" spans="1:2" x14ac:dyDescent="0.3">
      <c r="A50" s="4" t="s">
        <v>54</v>
      </c>
      <c r="B50" s="6">
        <v>59</v>
      </c>
    </row>
    <row r="51" spans="1:2" x14ac:dyDescent="0.3">
      <c r="A51" s="4" t="s">
        <v>55</v>
      </c>
      <c r="B51" s="6">
        <v>58</v>
      </c>
    </row>
    <row r="52" spans="1:2" x14ac:dyDescent="0.3">
      <c r="A52" s="4" t="s">
        <v>56</v>
      </c>
      <c r="B52" s="6">
        <v>66</v>
      </c>
    </row>
    <row r="53" spans="1:2" x14ac:dyDescent="0.3">
      <c r="A53" s="4" t="s">
        <v>57</v>
      </c>
      <c r="B53" s="6">
        <v>67</v>
      </c>
    </row>
    <row r="54" spans="1:2" x14ac:dyDescent="0.3">
      <c r="A54" s="4" t="s">
        <v>58</v>
      </c>
      <c r="B54" s="6">
        <v>54</v>
      </c>
    </row>
    <row r="55" spans="1:2" x14ac:dyDescent="0.3">
      <c r="A55" s="4" t="s">
        <v>5</v>
      </c>
      <c r="B55" s="6">
        <v>513</v>
      </c>
    </row>
    <row r="57" spans="1:2" x14ac:dyDescent="0.3">
      <c r="A57" s="4" t="s">
        <v>64</v>
      </c>
    </row>
    <row r="58" spans="1:2" x14ac:dyDescent="0.3">
      <c r="A58" s="1" t="s">
        <v>4</v>
      </c>
      <c r="B58" t="s">
        <v>63</v>
      </c>
    </row>
    <row r="59" spans="1:2" x14ac:dyDescent="0.3">
      <c r="A59" s="4" t="s">
        <v>61</v>
      </c>
      <c r="B59" s="6">
        <v>325</v>
      </c>
    </row>
    <row r="60" spans="1:2" x14ac:dyDescent="0.3">
      <c r="A60" s="4" t="s">
        <v>62</v>
      </c>
      <c r="B60" s="6">
        <v>188</v>
      </c>
    </row>
    <row r="61" spans="1:2" x14ac:dyDescent="0.3">
      <c r="A61" s="4" t="s">
        <v>5</v>
      </c>
      <c r="B61" s="6">
        <v>513</v>
      </c>
    </row>
    <row r="63" spans="1:2" x14ac:dyDescent="0.3">
      <c r="A63" s="4" t="s">
        <v>68</v>
      </c>
    </row>
    <row r="64" spans="1:2" x14ac:dyDescent="0.3">
      <c r="A64" s="1" t="s">
        <v>4</v>
      </c>
      <c r="B64" t="s">
        <v>66</v>
      </c>
    </row>
    <row r="65" spans="1:2" x14ac:dyDescent="0.3">
      <c r="A65" s="4" t="s">
        <v>65</v>
      </c>
      <c r="B65" s="6">
        <v>241</v>
      </c>
    </row>
    <row r="66" spans="1:2" x14ac:dyDescent="0.3">
      <c r="A66" s="4" t="s">
        <v>67</v>
      </c>
      <c r="B66" s="6">
        <v>272</v>
      </c>
    </row>
    <row r="67" spans="1:2" x14ac:dyDescent="0.3">
      <c r="A67" s="4" t="s">
        <v>5</v>
      </c>
      <c r="B67" s="6">
        <v>513</v>
      </c>
    </row>
    <row r="69" spans="1:2" x14ac:dyDescent="0.3">
      <c r="A69" s="4" t="s">
        <v>78</v>
      </c>
    </row>
    <row r="70" spans="1:2" x14ac:dyDescent="0.3">
      <c r="A70" s="1" t="s">
        <v>4</v>
      </c>
      <c r="B70" t="s">
        <v>77</v>
      </c>
    </row>
    <row r="71" spans="1:2" x14ac:dyDescent="0.3">
      <c r="A71" s="4" t="s">
        <v>70</v>
      </c>
      <c r="B71" s="6">
        <v>4</v>
      </c>
    </row>
    <row r="72" spans="1:2" x14ac:dyDescent="0.3">
      <c r="A72" s="4" t="s">
        <v>76</v>
      </c>
      <c r="B72" s="6">
        <v>5</v>
      </c>
    </row>
    <row r="73" spans="1:2" x14ac:dyDescent="0.3">
      <c r="A73" s="4" t="s">
        <v>72</v>
      </c>
      <c r="B73" s="6">
        <v>9</v>
      </c>
    </row>
    <row r="74" spans="1:2" x14ac:dyDescent="0.3">
      <c r="A74" s="4" t="s">
        <v>75</v>
      </c>
      <c r="B74" s="6">
        <v>14</v>
      </c>
    </row>
    <row r="75" spans="1:2" x14ac:dyDescent="0.3">
      <c r="A75" s="4" t="s">
        <v>69</v>
      </c>
      <c r="B75" s="6">
        <v>14</v>
      </c>
    </row>
    <row r="76" spans="1:2" x14ac:dyDescent="0.3">
      <c r="A76" s="4" t="s">
        <v>74</v>
      </c>
      <c r="B76" s="6">
        <v>65</v>
      </c>
    </row>
    <row r="77" spans="1:2" x14ac:dyDescent="0.3">
      <c r="A77" s="4" t="s">
        <v>71</v>
      </c>
      <c r="B77" s="6">
        <v>103</v>
      </c>
    </row>
    <row r="78" spans="1:2" x14ac:dyDescent="0.3">
      <c r="A78" s="4" t="s">
        <v>73</v>
      </c>
      <c r="B78" s="6">
        <v>299</v>
      </c>
    </row>
    <row r="79" spans="1:2" x14ac:dyDescent="0.3">
      <c r="A79" s="4" t="s">
        <v>5</v>
      </c>
      <c r="B79" s="6">
        <v>513</v>
      </c>
    </row>
    <row r="82" spans="1:1" x14ac:dyDescent="0.3">
      <c r="A82" s="1" t="s">
        <v>4</v>
      </c>
    </row>
    <row r="83" spans="1:1" x14ac:dyDescent="0.3">
      <c r="A83" s="4" t="s">
        <v>6</v>
      </c>
    </row>
    <row r="84" spans="1:1" x14ac:dyDescent="0.3">
      <c r="A84" s="4" t="s">
        <v>5</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0066-EC15-4D99-BBAC-3CEA33E35B7C}">
  <dimension ref="A1"/>
  <sheetViews>
    <sheetView tabSelected="1" zoomScale="160" zoomScaleNormal="170" workbookViewId="0">
      <selection activeCell="I19" sqref="I19"/>
    </sheetView>
  </sheetViews>
  <sheetFormatPr defaultRowHeight="14.4" x14ac:dyDescent="0.3"/>
  <cols>
    <col min="1"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FD310-8272-49A4-AEA7-96462297C4AE}">
  <dimension ref="A15:N15"/>
  <sheetViews>
    <sheetView workbookViewId="0"/>
  </sheetViews>
  <sheetFormatPr defaultRowHeight="14.4" x14ac:dyDescent="0.3"/>
  <sheetData>
    <row r="15" spans="1:14" x14ac:dyDescent="0.3">
      <c r="A15" s="11" t="s">
        <v>38</v>
      </c>
      <c r="B15" s="11"/>
      <c r="C15" s="11"/>
      <c r="D15" s="11"/>
      <c r="E15" s="11"/>
      <c r="F15" s="11"/>
      <c r="G15" s="11"/>
      <c r="H15" s="11"/>
      <c r="I15" s="11"/>
      <c r="J15" s="11"/>
      <c r="K15" s="11"/>
      <c r="L15" s="11"/>
      <c r="M15" s="11"/>
      <c r="N15" s="11"/>
    </row>
  </sheetData>
  <mergeCells count="1">
    <mergeCell ref="A15:N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DE41-9AED-48AA-B4B0-1D6E78C72A13}">
  <dimension ref="A27:Q27"/>
  <sheetViews>
    <sheetView zoomScale="76" workbookViewId="0"/>
  </sheetViews>
  <sheetFormatPr defaultRowHeight="14.4" x14ac:dyDescent="0.3"/>
  <sheetData>
    <row r="27" spans="1:17" x14ac:dyDescent="0.3">
      <c r="A27" s="12" t="s">
        <v>41</v>
      </c>
      <c r="B27" s="11"/>
      <c r="C27" s="11"/>
      <c r="D27" s="11"/>
      <c r="E27" s="11"/>
      <c r="F27" s="11"/>
      <c r="G27" s="11"/>
      <c r="H27" s="11"/>
      <c r="I27" s="11"/>
      <c r="J27" s="11"/>
      <c r="K27" s="11"/>
      <c r="L27" s="11"/>
      <c r="M27" s="11"/>
      <c r="N27" s="11"/>
      <c r="O27" s="11"/>
      <c r="P27" s="11"/>
      <c r="Q27" s="11"/>
    </row>
  </sheetData>
  <mergeCells count="1">
    <mergeCell ref="A27:Q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270F-97F7-4A40-A883-948662192B7D}">
  <dimension ref="A27:Q27"/>
  <sheetViews>
    <sheetView zoomScale="76" workbookViewId="0"/>
  </sheetViews>
  <sheetFormatPr defaultRowHeight="14.4" x14ac:dyDescent="0.3"/>
  <sheetData>
    <row r="27" spans="1:17" x14ac:dyDescent="0.3">
      <c r="A27" s="12" t="s">
        <v>42</v>
      </c>
      <c r="B27" s="11"/>
      <c r="C27" s="11"/>
      <c r="D27" s="11"/>
      <c r="E27" s="11"/>
      <c r="F27" s="11"/>
      <c r="G27" s="11"/>
      <c r="H27" s="11"/>
      <c r="I27" s="11"/>
      <c r="J27" s="11"/>
      <c r="K27" s="11"/>
      <c r="L27" s="11"/>
      <c r="M27" s="11"/>
      <c r="N27" s="11"/>
      <c r="O27" s="11"/>
      <c r="P27" s="11"/>
      <c r="Q27" s="11"/>
    </row>
  </sheetData>
  <mergeCells count="1">
    <mergeCell ref="A27:Q2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4A8B0CE-65EB-4262-827F-79B11EA0909E}">
  <ds:schemaRefs/>
</ds:datastoreItem>
</file>

<file path=customXml/itemProps2.xml><?xml version="1.0" encoding="utf-8"?>
<ds:datastoreItem xmlns:ds="http://schemas.openxmlformats.org/officeDocument/2006/customXml" ds:itemID="{21BFE4DD-E486-419C-9D14-FC46468BF1F4}">
  <ds:schemaRefs/>
</ds:datastoreItem>
</file>

<file path=customXml/itemProps3.xml><?xml version="1.0" encoding="utf-8"?>
<ds:datastoreItem xmlns:ds="http://schemas.openxmlformats.org/officeDocument/2006/customXml" ds:itemID="{A97C237E-7D0E-48AA-B88C-208F07405C26}">
  <ds:schemaRefs/>
</ds:datastoreItem>
</file>

<file path=customXml/itemProps4.xml><?xml version="1.0" encoding="utf-8"?>
<ds:datastoreItem xmlns:ds="http://schemas.openxmlformats.org/officeDocument/2006/customXml" ds:itemID="{D046D55D-0BCC-487B-A004-1C17D09B9486}">
  <ds:schemaRefs/>
</ds:datastoreItem>
</file>

<file path=customXml/itemProps5.xml><?xml version="1.0" encoding="utf-8"?>
<ds:datastoreItem xmlns:ds="http://schemas.openxmlformats.org/officeDocument/2006/customXml" ds:itemID="{CE76EE30-D2C6-450E-9B3B-54BDD2FD07BC}">
  <ds:schemaRefs/>
</ds:datastoreItem>
</file>

<file path=customXml/itemProps6.xml><?xml version="1.0" encoding="utf-8"?>
<ds:datastoreItem xmlns:ds="http://schemas.openxmlformats.org/officeDocument/2006/customXml" ds:itemID="{DE1CA8C2-26DD-4BE4-9CCA-548BD2D90060}">
  <ds:schemaRefs/>
</ds:datastoreItem>
</file>

<file path=customXml/itemProps7.xml><?xml version="1.0" encoding="utf-8"?>
<ds:datastoreItem xmlns:ds="http://schemas.openxmlformats.org/officeDocument/2006/customXml" ds:itemID="{D21DEB6F-3491-41F7-AD0D-15763E139A6B}">
  <ds:schemaRefs/>
</ds:datastoreItem>
</file>

<file path=customXml/itemProps8.xml><?xml version="1.0" encoding="utf-8"?>
<ds:datastoreItem xmlns:ds="http://schemas.openxmlformats.org/officeDocument/2006/customXml" ds:itemID="{60E3D1AE-8F4F-4A50-8E37-CACC40BE887A}">
  <ds:schemaRefs/>
</ds:datastoreItem>
</file>

<file path=customXml/itemProps9.xml><?xml version="1.0" encoding="utf-8"?>
<ds:datastoreItem xmlns:ds="http://schemas.openxmlformats.org/officeDocument/2006/customXml" ds:itemID="{464729AC-BEEE-4565-B0CC-0DA763401E79}">
  <ds:schemaRefs/>
</ds:datastoreItem>
</file>

<file path=customXml/itemProps10.xml><?xml version="1.0" encoding="utf-8"?>
<ds:datastoreItem xmlns:ds="http://schemas.openxmlformats.org/officeDocument/2006/customXml" ds:itemID="{D3A110B9-1BB5-4004-87E6-E6872F3CBA40}">
  <ds:schemaRefs/>
</ds:datastoreItem>
</file>

<file path=customXml/itemProps11.xml><?xml version="1.0" encoding="utf-8"?>
<ds:datastoreItem xmlns:ds="http://schemas.openxmlformats.org/officeDocument/2006/customXml" ds:itemID="{1D67FD2F-951A-45A3-999E-EC8C954EF3BD}">
  <ds:schemaRefs/>
</ds:datastoreItem>
</file>

<file path=customXml/itemProps12.xml><?xml version="1.0" encoding="utf-8"?>
<ds:datastoreItem xmlns:ds="http://schemas.openxmlformats.org/officeDocument/2006/customXml" ds:itemID="{6D26DA32-99BE-4E6B-BBF8-A7B3D2126659}">
  <ds:schemaRefs>
    <ds:schemaRef ds:uri="http://schemas.microsoft.com/DataMashup"/>
  </ds:schemaRefs>
</ds:datastoreItem>
</file>

<file path=customXml/itemProps13.xml><?xml version="1.0" encoding="utf-8"?>
<ds:datastoreItem xmlns:ds="http://schemas.openxmlformats.org/officeDocument/2006/customXml" ds:itemID="{8CFB1B39-047B-4A6E-A02F-9564A59D985A}">
  <ds:schemaRefs/>
</ds:datastoreItem>
</file>

<file path=customXml/itemProps14.xml><?xml version="1.0" encoding="utf-8"?>
<ds:datastoreItem xmlns:ds="http://schemas.openxmlformats.org/officeDocument/2006/customXml" ds:itemID="{2868A66B-3532-4200-A041-BBACFF20BE52}">
  <ds:schemaRefs/>
</ds:datastoreItem>
</file>

<file path=customXml/itemProps15.xml><?xml version="1.0" encoding="utf-8"?>
<ds:datastoreItem xmlns:ds="http://schemas.openxmlformats.org/officeDocument/2006/customXml" ds:itemID="{2EBD3A19-323A-4888-BACE-F35509079E9C}">
  <ds:schemaRefs/>
</ds:datastoreItem>
</file>

<file path=customXml/itemProps16.xml><?xml version="1.0" encoding="utf-8"?>
<ds:datastoreItem xmlns:ds="http://schemas.openxmlformats.org/officeDocument/2006/customXml" ds:itemID="{4D2D30DB-0C20-4FA3-8687-1E5A3A02E8D7}">
  <ds:schemaRefs/>
</ds:datastoreItem>
</file>

<file path=customXml/itemProps17.xml><?xml version="1.0" encoding="utf-8"?>
<ds:datastoreItem xmlns:ds="http://schemas.openxmlformats.org/officeDocument/2006/customXml" ds:itemID="{8019096C-318B-45E5-A27D-4CDC5A9A2789}">
  <ds:schemaRefs/>
</ds:datastoreItem>
</file>

<file path=customXml/itemProps18.xml><?xml version="1.0" encoding="utf-8"?>
<ds:datastoreItem xmlns:ds="http://schemas.openxmlformats.org/officeDocument/2006/customXml" ds:itemID="{D234106C-5C1A-419E-95EE-3BDC8BB562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Shelke</dc:creator>
  <cp:lastModifiedBy>Sonal Shelke</cp:lastModifiedBy>
  <dcterms:created xsi:type="dcterms:W3CDTF">2026-03-11T05:15:49Z</dcterms:created>
  <dcterms:modified xsi:type="dcterms:W3CDTF">2026-03-17T06:33:12Z</dcterms:modified>
</cp:coreProperties>
</file>